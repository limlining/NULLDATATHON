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c65a535d98059f0d/Documents/"/>
    </mc:Choice>
  </mc:AlternateContent>
  <xr:revisionPtr revIDLastSave="1000" documentId="8_{42385D54-E425-4FE9-8EAA-099FF0365049}" xr6:coauthVersionLast="47" xr6:coauthVersionMax="47" xr10:uidLastSave="{D3601348-5201-41B5-81AE-DA04C5DFC1DF}"/>
  <bookViews>
    <workbookView xWindow="11424" yWindow="0" windowWidth="11712" windowHeight="13776" xr2:uid="{E6A13D80-E8EC-47B0-BA0E-D40CFCEC213A}"/>
  </bookViews>
  <sheets>
    <sheet name="Sheet1" sheetId="1" r:id="rId1"/>
    <sheet name="废废的" sheetId="7" r:id="rId2"/>
    <sheet name="2024" sheetId="2" r:id="rId3"/>
    <sheet name="HOTEL GUEST BY STATE " sheetId="6" r:id="rId4"/>
    <sheet name="STATE POPULATION 2025" sheetId="3" r:id="rId5"/>
    <sheet name="GDP_2025" sheetId="4" r:id="rId6"/>
    <sheet name="DISTRIC POPULATION 2025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7" i="1" l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  <c r="W2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U3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S6" i="1"/>
  <c r="U2" i="1"/>
  <c r="S13" i="1"/>
  <c r="S12" i="1"/>
  <c r="S8" i="1"/>
  <c r="S7" i="1"/>
  <c r="S4" i="1"/>
  <c r="S3" i="1"/>
  <c r="C3" i="7"/>
  <c r="C15" i="7"/>
  <c r="C11" i="7"/>
  <c r="C10" i="7"/>
  <c r="C8" i="7"/>
  <c r="C7" i="7"/>
  <c r="C6" i="7"/>
  <c r="C4" i="7"/>
  <c r="M17" i="1"/>
  <c r="M16" i="1"/>
  <c r="M15" i="1"/>
  <c r="M14" i="1"/>
  <c r="M13" i="1"/>
  <c r="M12" i="1"/>
  <c r="M2" i="1"/>
  <c r="M11" i="1"/>
  <c r="M10" i="1"/>
  <c r="M9" i="1"/>
  <c r="M8" i="1"/>
  <c r="M7" i="1"/>
  <c r="M6" i="1"/>
  <c r="M3" i="1"/>
  <c r="M5" i="1"/>
  <c r="M4" i="1"/>
  <c r="L17" i="1"/>
  <c r="P17" i="1" s="1"/>
  <c r="K17" i="1"/>
  <c r="O17" i="1" s="1"/>
  <c r="J17" i="1"/>
  <c r="N17" i="1" s="1"/>
  <c r="L16" i="1"/>
  <c r="P16" i="1" s="1"/>
  <c r="K16" i="1"/>
  <c r="O16" i="1" s="1"/>
  <c r="J16" i="1"/>
  <c r="N16" i="1" s="1"/>
  <c r="L15" i="1"/>
  <c r="P15" i="1" s="1"/>
  <c r="K15" i="1"/>
  <c r="O15" i="1" s="1"/>
  <c r="J15" i="1"/>
  <c r="N15" i="1" s="1"/>
  <c r="L14" i="1"/>
  <c r="P14" i="1" s="1"/>
  <c r="K14" i="1"/>
  <c r="O14" i="1" s="1"/>
  <c r="J14" i="1"/>
  <c r="N14" i="1" s="1"/>
  <c r="L13" i="1"/>
  <c r="P13" i="1" s="1"/>
  <c r="K13" i="1"/>
  <c r="O13" i="1" s="1"/>
  <c r="J13" i="1"/>
  <c r="N13" i="1" s="1"/>
  <c r="L12" i="1"/>
  <c r="P12" i="1" s="1"/>
  <c r="K12" i="1"/>
  <c r="O12" i="1" s="1"/>
  <c r="J12" i="1"/>
  <c r="N12" i="1" s="1"/>
  <c r="L11" i="1"/>
  <c r="P11" i="1" s="1"/>
  <c r="K11" i="1"/>
  <c r="O11" i="1" s="1"/>
  <c r="J11" i="1"/>
  <c r="N11" i="1" s="1"/>
  <c r="L10" i="1"/>
  <c r="P10" i="1" s="1"/>
  <c r="K10" i="1"/>
  <c r="O10" i="1" s="1"/>
  <c r="J10" i="1"/>
  <c r="N10" i="1" s="1"/>
  <c r="L9" i="1"/>
  <c r="P9" i="1" s="1"/>
  <c r="K9" i="1"/>
  <c r="O9" i="1" s="1"/>
  <c r="J9" i="1"/>
  <c r="N9" i="1" s="1"/>
  <c r="L8" i="1"/>
  <c r="P8" i="1" s="1"/>
  <c r="K8" i="1"/>
  <c r="O8" i="1" s="1"/>
  <c r="J8" i="1"/>
  <c r="N8" i="1" s="1"/>
  <c r="L7" i="1"/>
  <c r="P7" i="1" s="1"/>
  <c r="K7" i="1"/>
  <c r="O7" i="1" s="1"/>
  <c r="J7" i="1"/>
  <c r="N7" i="1" s="1"/>
  <c r="L6" i="1"/>
  <c r="P6" i="1" s="1"/>
  <c r="K6" i="1"/>
  <c r="O6" i="1" s="1"/>
  <c r="J6" i="1"/>
  <c r="N6" i="1" s="1"/>
  <c r="L5" i="1"/>
  <c r="P5" i="1" s="1"/>
  <c r="K5" i="1"/>
  <c r="O5" i="1" s="1"/>
  <c r="J5" i="1"/>
  <c r="N5" i="1" s="1"/>
  <c r="L2" i="1"/>
  <c r="P2" i="1" s="1"/>
  <c r="K2" i="1"/>
  <c r="L3" i="1"/>
  <c r="P3" i="1" s="1"/>
  <c r="K3" i="1"/>
  <c r="O3" i="1" s="1"/>
  <c r="L4" i="1"/>
  <c r="P4" i="1" s="1"/>
  <c r="K4" i="1"/>
  <c r="O4" i="1" s="1"/>
  <c r="J4" i="1"/>
  <c r="N4" i="1" s="1"/>
  <c r="J3" i="1"/>
  <c r="N3" i="1" s="1"/>
  <c r="J2" i="1"/>
  <c r="O2" i="1" l="1"/>
  <c r="N2" i="1"/>
</calcChain>
</file>

<file path=xl/sharedStrings.xml><?xml version="1.0" encoding="utf-8"?>
<sst xmlns="http://schemas.openxmlformats.org/spreadsheetml/2006/main" count="329" uniqueCount="119">
  <si>
    <t>STATE</t>
  </si>
  <si>
    <t>HOTEL ROOM</t>
  </si>
  <si>
    <t>AOR(%)</t>
  </si>
  <si>
    <t>Holidays Homes</t>
  </si>
  <si>
    <t>Capacity Limit</t>
  </si>
  <si>
    <t>CI 2026</t>
  </si>
  <si>
    <t>CI 2027</t>
  </si>
  <si>
    <t>CI 2028</t>
  </si>
  <si>
    <t>No relatives &amp; friends house (%)</t>
  </si>
  <si>
    <t>CI 26</t>
  </si>
  <si>
    <t>CI 27</t>
  </si>
  <si>
    <t>CI 28</t>
  </si>
  <si>
    <t>NRW(%)</t>
  </si>
  <si>
    <t>Coral Pressure(5)</t>
  </si>
  <si>
    <t>Waste Treatment Presure</t>
  </si>
  <si>
    <t>Environment Pressure</t>
  </si>
  <si>
    <t>population</t>
  </si>
  <si>
    <t>community pressure 2026</t>
  </si>
  <si>
    <t>C P 2027</t>
  </si>
  <si>
    <t>C P  2028</t>
  </si>
  <si>
    <t>CCI 2026</t>
  </si>
  <si>
    <t>CCI 2027</t>
  </si>
  <si>
    <t>CCI 2028</t>
  </si>
  <si>
    <t>SELANGOR</t>
  </si>
  <si>
    <t>NA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</si>
  <si>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</si>
  <si>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</si>
  <si>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</si>
  <si>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</si>
  <si>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</si>
  <si>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</si>
  <si>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</si>
  <si>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</si>
  <si>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</si>
  <si>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TERENGGANU</t>
  </si>
  <si>
    <t>SABAH</t>
  </si>
  <si>
    <t>SARAWAK</t>
  </si>
  <si>
    <t>W.P.KUALA LUMPUR</t>
  </si>
  <si>
    <t>W.P.LABUAN</t>
  </si>
  <si>
    <t>W.P PUTRAJAYA</t>
  </si>
  <si>
    <t>AVERAGE LEGTH OF STATE</t>
  </si>
  <si>
    <t>Average residue received (tonnes/ day)</t>
  </si>
  <si>
    <t>TOURISM RECEIPTS</t>
  </si>
  <si>
    <t>HOTEL/GUEST ACCOMMODATION</t>
  </si>
  <si>
    <t>NUMBER OF TRIP</t>
  </si>
  <si>
    <t>NUM OF HOTEL</t>
  </si>
  <si>
    <t>KELATAN</t>
  </si>
  <si>
    <t>W.P KL</t>
  </si>
  <si>
    <t>W.P LABUAN</t>
  </si>
  <si>
    <t>**这边的hotel room 是base on DOSM sheet1那边的是Tourism Malaysia's Hotel 的</t>
  </si>
  <si>
    <t>DOMESTIC</t>
  </si>
  <si>
    <t>INTERNATIONAL</t>
  </si>
  <si>
    <t>state</t>
  </si>
  <si>
    <t>date</t>
  </si>
  <si>
    <t>sex</t>
  </si>
  <si>
    <t>age</t>
  </si>
  <si>
    <t>ethnicity</t>
  </si>
  <si>
    <t>population,000</t>
  </si>
  <si>
    <t>TOURISM PRESSURE RATIO</t>
  </si>
  <si>
    <t>Johor</t>
  </si>
  <si>
    <t>both</t>
  </si>
  <si>
    <t>overall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</si>
  <si>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</si>
  <si>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</si>
  <si>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</si>
  <si>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</si>
  <si>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</si>
  <si>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</si>
  <si>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</si>
  <si>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</si>
  <si>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</si>
  <si>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</si>
  <si>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</si>
  <si>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</si>
  <si>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Kuala Lumpur</t>
  </si>
  <si>
    <t>W.P. Labuan</t>
  </si>
  <si>
    <t>W.P. Putrajaya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</si>
  <si>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</si>
  <si>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</si>
  <si>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</si>
  <si>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</si>
  <si>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</si>
  <si>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</si>
  <si>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</si>
  <si>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</si>
  <si>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</si>
  <si>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</si>
  <si>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</si>
  <si>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</si>
  <si>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</si>
  <si>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</si>
  <si>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</si>
  <si>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</si>
  <si>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</si>
  <si>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Supra</t>
  </si>
  <si>
    <t>district</t>
  </si>
  <si>
    <t>Batu Pahat</t>
  </si>
  <si>
    <t>Johor Bahru</t>
  </si>
  <si>
    <t>Langkawi</t>
  </si>
  <si>
    <t>Kuala Muda</t>
  </si>
  <si>
    <t>Bachok</t>
  </si>
  <si>
    <t>Kota Bharu</t>
  </si>
  <si>
    <t>Melaka Tengah</t>
  </si>
  <si>
    <t>Alor Gajah</t>
  </si>
  <si>
    <t>Port Dickson</t>
  </si>
  <si>
    <t>Seremban</t>
  </si>
  <si>
    <t>Kuantan</t>
  </si>
  <si>
    <t>Cameron Highland</t>
  </si>
  <si>
    <t>Kinta</t>
  </si>
  <si>
    <t>Larut Dan Matang</t>
  </si>
  <si>
    <t>Timur Laut</t>
  </si>
  <si>
    <t>Barat Daya</t>
  </si>
  <si>
    <t>Kota Kinabalu</t>
  </si>
  <si>
    <t>Semporna</t>
  </si>
  <si>
    <t>Kuching</t>
  </si>
  <si>
    <t>Sibu</t>
  </si>
  <si>
    <t>Petaling</t>
  </si>
  <si>
    <t>Ulu Langat</t>
  </si>
  <si>
    <t>Kuala Terengganu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</si>
</sst>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indexed="8"/>
      <name val="Calibri"/>
      <family val="2"/>
      <charset val="134"/>
    </font>
    <font>
      <sz val="12"/>
      <name val="Times New Roman"/>
      <family val="1"/>
    </font>
    <font>
      <sz val="11"/>
      <color indexed="8"/>
      <name val="Calibri"/>
      <family val="2"/>
    </font>
    <font>
      <sz val="8"/>
      <color theme="1"/>
      <name val="Century Gothic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i/>
      <sz val="8"/>
      <color rgb="FF000000"/>
      <name val="Arial"/>
      <family val="2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E07A1"/>
      </bottom>
      <diagonal/>
    </border>
  </borders>
  <cellStyleXfs count="30">
    <xf numFmtId="0" fontId="0" fillId="0" borderId="0"/>
    <xf numFmtId="0" fontId="2" fillId="0" borderId="0"/>
    <xf numFmtId="0" fontId="1" fillId="0" borderId="0"/>
    <xf numFmtId="0" fontId="3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10" fontId="0" fillId="0" borderId="0" xfId="0" applyNumberFormat="1"/>
    <xf numFmtId="165" fontId="0" fillId="0" borderId="0" xfId="0" applyNumberFormat="1"/>
    <xf numFmtId="0" fontId="0" fillId="0" borderId="0" xfId="0" applyNumberFormat="1"/>
    <xf numFmtId="9" fontId="0" fillId="0" borderId="0" xfId="0" applyNumberFormat="1"/>
    <xf numFmtId="14" fontId="0" fillId="0" borderId="0" xfId="0" applyNumberFormat="1"/>
    <xf numFmtId="0" fontId="6" fillId="0" borderId="0" xfId="1" quotePrefix="1" applyFont="1" applyAlignment="1">
      <alignment horizontal="center" vertical="center" wrapText="1"/>
    </xf>
    <xf numFmtId="3" fontId="9" fillId="0" borderId="0" xfId="1" applyNumberFormat="1" applyFont="1" applyAlignment="1">
      <alignment horizontal="right" vertical="center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 wrapText="1"/>
    </xf>
    <xf numFmtId="3" fontId="9" fillId="0" borderId="0" xfId="1" applyNumberFormat="1" applyFont="1" applyAlignment="1">
      <alignment vertical="center"/>
    </xf>
    <xf numFmtId="0" fontId="10" fillId="0" borderId="0" xfId="0" applyFont="1"/>
    <xf numFmtId="2" fontId="0" fillId="0" borderId="0" xfId="0" applyNumberFormat="1"/>
    <xf numFmtId="0" fontId="11" fillId="0" borderId="1" xfId="0" applyFont="1" applyFill="1" applyBorder="1" applyAlignment="1">
      <alignment wrapText="1"/>
    </xf>
    <xf numFmtId="0" fontId="12" fillId="0" borderId="0" xfId="0" applyFont="1" applyFill="1" applyBorder="1" applyAlignment="1">
      <alignment wrapText="1"/>
    </xf>
    <xf numFmtId="0" fontId="0" fillId="0" borderId="0" xfId="0" applyFont="1"/>
    <xf numFmtId="165" fontId="2" fillId="0" borderId="0" xfId="0" applyNumberFormat="1" applyFont="1"/>
    <xf numFmtId="0" fontId="0" fillId="2" borderId="0" xfId="0" applyFill="1"/>
    <xf numFmtId="0" fontId="12" fillId="2" borderId="0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</cellXfs>
  <cellStyles count="30">
    <cellStyle name="Comma 2" xfId="4" xr:uid="{6108B129-657F-469F-99A2-BB89F77B4CB4}"/>
    <cellStyle name="Comma 2 3" xfId="5" xr:uid="{71C1E78E-7021-4AAA-BABC-3ABCFE81755F}"/>
    <cellStyle name="Comma 3" xfId="9" xr:uid="{80E18639-8952-4CEB-85E8-1579A0A45677}"/>
    <cellStyle name="Comma 3 2" xfId="20" xr:uid="{D60DFE75-6F90-4B19-8522-0AE3F0666160}"/>
    <cellStyle name="Comma 3 3" xfId="24" xr:uid="{9918F690-050E-4EBC-ABF2-08668A172656}"/>
    <cellStyle name="Comma 3 4" xfId="25" xr:uid="{6D7A4A3D-62A5-495C-8784-08FC1A987965}"/>
    <cellStyle name="Comma 4" xfId="7" xr:uid="{3097245E-E26A-426C-A482-B6D4B3ED3001}"/>
    <cellStyle name="Comma 4 2" xfId="11" xr:uid="{4353BF58-4799-499B-9826-EDBE389A3222}"/>
    <cellStyle name="Comma 4 3" xfId="18" xr:uid="{6CB2BC42-16C7-42F7-BBEE-225366F57CD8}"/>
    <cellStyle name="Comma 4 4" xfId="27" xr:uid="{59F6910E-B7EB-4060-BE7C-098908CD1031}"/>
    <cellStyle name="Comma 5" xfId="14" xr:uid="{416D652C-4056-44BF-B7B2-63A09738567C}"/>
    <cellStyle name="Comma 6" xfId="29" xr:uid="{FBAA4B02-5F60-451F-8DB9-36ACC3E7E42D}"/>
    <cellStyle name="Comma 7" xfId="8" xr:uid="{17FC8A8D-17C3-4265-8605-4FB3B0F30060}"/>
    <cellStyle name="Normal" xfId="0" builtinId="0"/>
    <cellStyle name="Normal 10" xfId="12" xr:uid="{01FDE696-16D5-4B4E-8A6C-C09D55BA11E4}"/>
    <cellStyle name="Normal 11" xfId="17" xr:uid="{9720DF77-3F7B-4ACD-BDFC-FC53A760247D}"/>
    <cellStyle name="Normal 12" xfId="16" xr:uid="{A6D82B1C-EDAE-4EE8-9F74-7F625E869FC7}"/>
    <cellStyle name="Normal 13" xfId="21" xr:uid="{459E3C57-26F1-4E20-A876-C9B72937D88F}"/>
    <cellStyle name="Normal 2" xfId="28" xr:uid="{6E41DA96-09F5-4BD1-BDC6-B310E960411D}"/>
    <cellStyle name="Normal 2 2 2" xfId="22" xr:uid="{D416B4E5-8896-48AC-8C60-1BD7F793341B}"/>
    <cellStyle name="Normal 3" xfId="3" xr:uid="{CD1627CA-DFED-4F99-92F3-DED4C374C359}"/>
    <cellStyle name="Normal 3 3" xfId="6" xr:uid="{5A2134AB-58EB-4EEC-BE02-BE4EC4BA9604}"/>
    <cellStyle name="Normal 4" xfId="1" xr:uid="{CF61B2CD-E6D0-4DAF-9734-7579BDA1EC9F}"/>
    <cellStyle name="Normal 4 2" xfId="23" xr:uid="{2EA31C02-BAFE-4F33-A8F1-4D4A470CB1BA}"/>
    <cellStyle name="Normal 6" xfId="2" xr:uid="{8912F342-5A58-49C3-9E7B-329ED551B144}"/>
    <cellStyle name="Normal 6 2" xfId="10" xr:uid="{19E67346-09FB-4D3C-9D72-F4F903245D36}"/>
    <cellStyle name="Normal 6 2 2" xfId="13" xr:uid="{CB87AD32-2CE3-42F7-8931-47DAE3987204}"/>
    <cellStyle name="Normal 6 2 3" xfId="26" xr:uid="{E6D0A710-355F-41C2-A538-6BBEC83F34D8}"/>
    <cellStyle name="Normal 8" xfId="15" xr:uid="{DBD874B3-0BB1-4137-B5FC-DE5C72215C3F}"/>
    <cellStyle name="Normal 9" xfId="19" xr:uid="{E23DE9D4-190F-485F-AFF2-F7263C86CE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C7C5-AD4E-4F9F-B0CE-880BD0509C12}">
  <dimension ref="A1:AC18"/>
  <sheetViews>
    <sheetView tabSelected="1" topLeftCell="K1" zoomScale="111" workbookViewId="0">
      <selection activeCell="AC1" sqref="AC1"/>
    </sheetView>
  </sheetViews>
  <sheetFormatPr defaultRowHeight="14.45"/>
  <cols>
    <col min="1" max="1" width="25.28515625" customWidth="1"/>
    <col min="2" max="2" width="16.85546875" customWidth="1"/>
    <col min="3" max="3" width="18.42578125" customWidth="1"/>
    <col min="4" max="4" width="19.85546875" customWidth="1"/>
    <col min="5" max="5" width="16.140625" customWidth="1"/>
    <col min="6" max="6" width="17.7109375" customWidth="1"/>
    <col min="8" max="8" width="18.140625" customWidth="1"/>
    <col min="9" max="9" width="14.42578125" customWidth="1"/>
    <col min="13" max="13" width="29" customWidth="1"/>
    <col min="19" max="19" width="16.5703125" customWidth="1"/>
    <col min="20" max="20" width="23.42578125" customWidth="1"/>
    <col min="21" max="21" width="21.7109375" customWidth="1"/>
    <col min="22" max="22" width="18.7109375" customWidth="1"/>
    <col min="23" max="23" width="23.140625" customWidth="1"/>
    <col min="24" max="25" width="13.85546875" bestFit="1" customWidth="1"/>
    <col min="27" max="29" width="9.28515625" bestFit="1" customWidth="1"/>
  </cols>
  <sheetData>
    <row r="1" spans="1:29" ht="19.5" customHeight="1">
      <c r="A1" t="s">
        <v>0</v>
      </c>
      <c r="B1">
        <v>2025</v>
      </c>
      <c r="C1">
        <v>2026</v>
      </c>
      <c r="D1">
        <v>2027</v>
      </c>
      <c r="E1">
        <v>2028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s="17" t="s">
        <v>9</v>
      </c>
      <c r="O1" s="17" t="s">
        <v>10</v>
      </c>
      <c r="P1" s="17" t="s">
        <v>11</v>
      </c>
      <c r="R1" t="s">
        <v>12</v>
      </c>
      <c r="S1" s="14" t="s">
        <v>13</v>
      </c>
      <c r="T1" s="14" t="s">
        <v>14</v>
      </c>
      <c r="U1" s="18" t="s">
        <v>15</v>
      </c>
      <c r="V1" t="s">
        <v>16</v>
      </c>
      <c r="W1" s="17" t="s">
        <v>17</v>
      </c>
      <c r="X1" s="17" t="s">
        <v>18</v>
      </c>
      <c r="Y1" s="17" t="s">
        <v>19</v>
      </c>
      <c r="AA1" s="20" t="s">
        <v>20</v>
      </c>
      <c r="AB1" s="20" t="s">
        <v>21</v>
      </c>
      <c r="AC1" s="20" t="s">
        <v>22</v>
      </c>
    </row>
    <row r="2" spans="1:29" ht="15">
      <c r="A2" t="s">
        <v>23</v>
      </c>
      <c r="B2">
        <v>36376000</v>
      </c>
      <c r="C2" s="2">
        <v>39774422.454000004</v>
      </c>
      <c r="D2" s="2">
        <v>42112941.287</v>
      </c>
      <c r="E2" s="2">
        <v>39093207.316</v>
      </c>
      <c r="F2">
        <v>34883</v>
      </c>
      <c r="G2" s="12">
        <v>51.6</v>
      </c>
      <c r="H2">
        <v>19095</v>
      </c>
      <c r="I2" s="2">
        <v>3978171.2069999999</v>
      </c>
      <c r="J2" s="2">
        <f>C2/I2</f>
        <v>9.9981675962092407</v>
      </c>
      <c r="K2" s="2">
        <f>D2/I2</f>
        <v>10.586005251080689</v>
      </c>
      <c r="L2" s="2">
        <f>E2/I2</f>
        <v>9.8269293305455268</v>
      </c>
      <c r="M2" s="12">
        <f>100-68.7</f>
        <v>31.299999999999997</v>
      </c>
      <c r="N2" s="2">
        <f>(C2*M2/100)/I2</f>
        <v>3.129426457613492</v>
      </c>
      <c r="O2" s="2">
        <f>(D2*M2/100)/I2</f>
        <v>3.3134196435882552</v>
      </c>
      <c r="P2" s="2">
        <f>L2*M2/100</f>
        <v>3.0758288804607496</v>
      </c>
      <c r="R2" s="12">
        <v>26.8</v>
      </c>
      <c r="S2" s="16" t="s">
        <v>24</v>
      </c>
      <c r="T2" s="2">
        <v>0.23699999999999999</v>
      </c>
      <c r="U2" s="16">
        <f>(0.268+0.237)/2</f>
        <v>0.2525</v>
      </c>
      <c r="V2">
        <v>7408700</v>
      </c>
      <c r="W2" s="2">
        <f>C2/V2</f>
        <v>5.3686102088085637</v>
      </c>
      <c r="X2" s="2">
        <f>D2/V2</f>
        <v>5.6842551712176226</v>
      </c>
      <c r="Y2" s="2">
        <f>E2/V2</f>
        <v>5.2766622101043366</v>
      </c>
      <c r="AA2" s="2">
        <f>(N2+U2+W2)/3</f>
        <v>2.9168455554740187</v>
      </c>
      <c r="AB2" s="2">
        <f>(O2+U2+X2)/3</f>
        <v>3.0833916049352923</v>
      </c>
      <c r="AC2" s="2">
        <f>(P2+U2+Y2)/3</f>
        <v>2.8683303635216952</v>
      </c>
    </row>
    <row r="3" spans="1:29" ht="15">
      <c r="A3" t="s">
        <v>25</v>
      </c>
      <c r="B3">
        <v>18197000</v>
      </c>
      <c r="C3" s="2">
        <v>21164075.033</v>
      </c>
      <c r="D3" s="2">
        <v>22579558.519000001</v>
      </c>
      <c r="E3" s="2">
        <v>22159616.888</v>
      </c>
      <c r="F3">
        <v>36043</v>
      </c>
      <c r="G3" s="12">
        <v>52.3</v>
      </c>
      <c r="H3">
        <v>7274</v>
      </c>
      <c r="I3" s="2">
        <v>3236398.7140000002</v>
      </c>
      <c r="J3" s="2">
        <f>C3/I3</f>
        <v>6.539390508792545</v>
      </c>
      <c r="K3" s="2">
        <f>D3/I3</f>
        <v>6.9767542612489128</v>
      </c>
      <c r="L3" s="2">
        <f>E3/I3</f>
        <v>6.8469984220862594</v>
      </c>
      <c r="M3" s="12">
        <f>100-64.9</f>
        <v>35.099999999999994</v>
      </c>
      <c r="N3" s="2">
        <f>J3*M3/100</f>
        <v>2.2953260685861832</v>
      </c>
      <c r="O3" s="2">
        <f>K3*M3/100</f>
        <v>2.4488407456983681</v>
      </c>
      <c r="P3" s="2">
        <f>L3*M3/100</f>
        <v>2.4032964461522766</v>
      </c>
      <c r="R3" s="12">
        <v>24</v>
      </c>
      <c r="S3" s="16">
        <f>100-47.89</f>
        <v>52.11</v>
      </c>
      <c r="T3" s="2">
        <v>0.76300000000000001</v>
      </c>
      <c r="U3" s="16">
        <f>(0.24+0.5211+0.763)/3</f>
        <v>0.50803333333333334</v>
      </c>
      <c r="V3">
        <v>4204100</v>
      </c>
      <c r="W3" s="2">
        <f>C3/V3</f>
        <v>5.0341511935967267</v>
      </c>
      <c r="X3" s="2">
        <f>D3/V3</f>
        <v>5.3708423964701124</v>
      </c>
      <c r="Y3" s="2">
        <f>E3/V3</f>
        <v>5.2709538041435744</v>
      </c>
      <c r="AA3" s="2">
        <f>(N3+W3+U3)/3</f>
        <v>2.6125035318387479</v>
      </c>
      <c r="AB3" s="2">
        <f>(O3+U3+X3)/3</f>
        <v>2.7759054918339374</v>
      </c>
      <c r="AC3" s="2">
        <f>(P3+U3+Y3)/3</f>
        <v>2.727427861209728</v>
      </c>
    </row>
    <row r="4" spans="1:29" ht="15">
      <c r="A4" t="s">
        <v>26</v>
      </c>
      <c r="B4">
        <v>15608000</v>
      </c>
      <c r="C4" s="2">
        <v>17918298.852000002</v>
      </c>
      <c r="D4" s="2">
        <v>18921166.511</v>
      </c>
      <c r="E4" s="2">
        <v>17082225.943</v>
      </c>
      <c r="F4">
        <v>18600</v>
      </c>
      <c r="G4" s="12">
        <v>46.6</v>
      </c>
      <c r="H4">
        <v>3302</v>
      </c>
      <c r="I4" s="2">
        <v>1457762.152</v>
      </c>
      <c r="J4" s="2">
        <f>C4/I4</f>
        <v>12.291647733765558</v>
      </c>
      <c r="K4" s="2">
        <f>D4/I4</f>
        <v>12.979597861723056</v>
      </c>
      <c r="L4" s="2">
        <f>E4/I4</f>
        <v>11.718115962582626</v>
      </c>
      <c r="M4" s="12">
        <f>100-68.5</f>
        <v>31.5</v>
      </c>
      <c r="N4" s="2">
        <f>J4*0.315</f>
        <v>3.8718690361361507</v>
      </c>
      <c r="O4" s="2">
        <f>K4*0.315</f>
        <v>4.0885733264427628</v>
      </c>
      <c r="P4" s="2">
        <f>L4*M4/100</f>
        <v>3.6912065282135273</v>
      </c>
      <c r="R4" s="12">
        <v>51.8</v>
      </c>
      <c r="S4" s="16">
        <f>100-42.29</f>
        <v>57.71</v>
      </c>
      <c r="T4" s="2">
        <v>1.004</v>
      </c>
      <c r="U4" s="16">
        <f>(0.518+0.5771+1.004)/3</f>
        <v>0.69969999999999999</v>
      </c>
      <c r="V4">
        <v>2227100</v>
      </c>
      <c r="W4" s="2">
        <f>C4/V4</f>
        <v>8.0455744474877644</v>
      </c>
      <c r="X4" s="2">
        <f>D4/V4</f>
        <v>8.4958764810740419</v>
      </c>
      <c r="Y4" s="2">
        <f>E4/V4</f>
        <v>7.6701656607247095</v>
      </c>
      <c r="AA4" s="2">
        <f>(N4+U4+W4)/3</f>
        <v>4.2057144945413052</v>
      </c>
      <c r="AB4" s="2">
        <f>(O4+U4+X4)/3</f>
        <v>4.4280499358389349</v>
      </c>
      <c r="AC4" s="2">
        <f>(P4+U4+Y4)/3</f>
        <v>4.0203573963127459</v>
      </c>
    </row>
    <row r="5" spans="1:29" ht="15">
      <c r="A5" t="s">
        <v>27</v>
      </c>
      <c r="B5">
        <v>12062000</v>
      </c>
      <c r="C5" s="2">
        <v>12004595.879000001</v>
      </c>
      <c r="D5" s="2">
        <v>12708141.988</v>
      </c>
      <c r="E5" s="2">
        <v>11685396.745999999</v>
      </c>
      <c r="F5">
        <v>6362</v>
      </c>
      <c r="G5" s="12">
        <v>43.2</v>
      </c>
      <c r="H5">
        <v>2697</v>
      </c>
      <c r="I5" s="2">
        <v>558960.32869999995</v>
      </c>
      <c r="J5" s="2">
        <f>C5/I5</f>
        <v>21.476650958252524</v>
      </c>
      <c r="K5" s="2">
        <f>D5/I5</f>
        <v>22.73532008533757</v>
      </c>
      <c r="L5" s="2">
        <f>E5/I5</f>
        <v>20.905592304157381</v>
      </c>
      <c r="M5" s="12">
        <f>100-73.1</f>
        <v>26.900000000000006</v>
      </c>
      <c r="N5" s="2">
        <f>J5*M5/100</f>
        <v>5.7772191077699304</v>
      </c>
      <c r="O5" s="2">
        <f>K5*M5/100</f>
        <v>6.1158011029558077</v>
      </c>
      <c r="P5" s="2">
        <f>L5*M5/100</f>
        <v>5.6236043298183374</v>
      </c>
      <c r="R5" s="12">
        <v>55.2</v>
      </c>
      <c r="S5" s="16" t="s">
        <v>24</v>
      </c>
      <c r="T5" s="2">
        <v>0.621</v>
      </c>
      <c r="U5" s="16">
        <f>(0.552+0.621)/2</f>
        <v>0.58650000000000002</v>
      </c>
      <c r="V5">
        <v>1906900</v>
      </c>
      <c r="W5" s="2">
        <f>C5/V5</f>
        <v>6.2953463102417544</v>
      </c>
      <c r="X5" s="2">
        <f>D5/V5</f>
        <v>6.6642938738266295</v>
      </c>
      <c r="Y5" s="2">
        <f>E5/V5</f>
        <v>6.1279546625412973</v>
      </c>
      <c r="AA5" s="2">
        <f>(N5+W5+U5)/3</f>
        <v>4.2196884726705619</v>
      </c>
      <c r="AB5" s="2">
        <f>(O5+U5+X5)/3</f>
        <v>4.4555316589274794</v>
      </c>
      <c r="AC5" s="2">
        <f>(P5+U5+Y5)/3</f>
        <v>4.1126863307865449</v>
      </c>
    </row>
    <row r="6" spans="1:29" ht="15">
      <c r="A6" t="s">
        <v>28</v>
      </c>
      <c r="B6">
        <v>20832000</v>
      </c>
      <c r="C6" s="2">
        <v>23544417.352000002</v>
      </c>
      <c r="D6" s="2">
        <v>25333990.831</v>
      </c>
      <c r="E6" s="2">
        <v>25263741.186999999</v>
      </c>
      <c r="F6">
        <v>20159</v>
      </c>
      <c r="G6" s="12">
        <v>45.4</v>
      </c>
      <c r="H6">
        <v>3850</v>
      </c>
      <c r="I6" s="2">
        <v>1556850.4750000001</v>
      </c>
      <c r="J6" s="2">
        <f>C6/I6</f>
        <v>15.123107665172533</v>
      </c>
      <c r="K6" s="2">
        <f>D6/I6</f>
        <v>16.272590873571207</v>
      </c>
      <c r="L6" s="2">
        <f>E6/I6</f>
        <v>16.227467950639252</v>
      </c>
      <c r="M6" s="12">
        <f>100-45.5</f>
        <v>54.5</v>
      </c>
      <c r="N6" s="2">
        <f>J6*M6/100</f>
        <v>8.2420936775190299</v>
      </c>
      <c r="O6" s="2">
        <f>K6*M6/100</f>
        <v>8.8685620260963081</v>
      </c>
      <c r="P6" s="2">
        <f>L6*M6/100</f>
        <v>8.8439700330983921</v>
      </c>
      <c r="R6" s="12">
        <v>33.9</v>
      </c>
      <c r="S6" s="16">
        <f>100-32.13</f>
        <v>67.87</v>
      </c>
      <c r="T6" s="2">
        <v>1</v>
      </c>
      <c r="U6" s="16">
        <f>(0.339+0.6787+1)/3</f>
        <v>0.67256666666666665</v>
      </c>
      <c r="V6">
        <v>1052000</v>
      </c>
      <c r="W6" s="2">
        <f>C6/V6</f>
        <v>22.380624859315592</v>
      </c>
      <c r="X6" s="2">
        <f>D6/V6</f>
        <v>24.081740333650192</v>
      </c>
      <c r="Y6" s="2">
        <f>E6/V6</f>
        <v>24.014963105513306</v>
      </c>
      <c r="AA6" s="2">
        <f>(N6+U6+W6)/3</f>
        <v>10.431761734500428</v>
      </c>
      <c r="AB6" s="2">
        <f>(O6+U6+X6)/3</f>
        <v>11.20762300880439</v>
      </c>
      <c r="AC6" s="2">
        <f>(P6+U6+Y6)/3</f>
        <v>11.177166601759454</v>
      </c>
    </row>
    <row r="7" spans="1:29" ht="15">
      <c r="A7" t="s">
        <v>29</v>
      </c>
      <c r="B7">
        <v>19357000</v>
      </c>
      <c r="C7" s="2">
        <v>21123333.226</v>
      </c>
      <c r="D7" s="2">
        <v>22478660.787999999</v>
      </c>
      <c r="E7" s="2">
        <v>22858403.688000001</v>
      </c>
      <c r="F7">
        <v>10856</v>
      </c>
      <c r="G7" s="12">
        <v>42.2</v>
      </c>
      <c r="H7">
        <v>2962</v>
      </c>
      <c r="I7" s="2">
        <v>832865.01269999996</v>
      </c>
      <c r="J7" s="2">
        <f>C7/I7</f>
        <v>25.362253070905112</v>
      </c>
      <c r="K7" s="2">
        <f>D7/I7</f>
        <v>26.98956066737416</v>
      </c>
      <c r="L7" s="2">
        <f>E7/I7</f>
        <v>27.445508383041723</v>
      </c>
      <c r="M7" s="12">
        <f>100-63.4</f>
        <v>36.6</v>
      </c>
      <c r="N7" s="2">
        <f>J7*M7/100</f>
        <v>9.282584623951271</v>
      </c>
      <c r="O7" s="2">
        <f>K7*M7/100</f>
        <v>9.8781792042589434</v>
      </c>
      <c r="P7" s="2">
        <f>L7*M7/100</f>
        <v>10.04505606819327</v>
      </c>
      <c r="R7" s="12">
        <v>35.700000000000003</v>
      </c>
      <c r="S7" s="16">
        <f>100-35</f>
        <v>65</v>
      </c>
      <c r="T7" s="2">
        <v>2.0779999999999998</v>
      </c>
      <c r="U7" s="16">
        <f>(0.357+0.65+2.078)/3</f>
        <v>1.0283333333333333</v>
      </c>
      <c r="V7">
        <v>1243900</v>
      </c>
      <c r="W7" s="2">
        <f>C7/V7</f>
        <v>16.981536478816626</v>
      </c>
      <c r="X7" s="2">
        <f>D7/V7</f>
        <v>18.07111567489348</v>
      </c>
      <c r="Y7" s="2">
        <f>E7/V7</f>
        <v>18.376399781332907</v>
      </c>
      <c r="AA7" s="2">
        <f>(N7+W7+U7)/3</f>
        <v>9.097484812033743</v>
      </c>
      <c r="AB7" s="2">
        <f>(O7+U7+X7)/3</f>
        <v>9.6592094041619188</v>
      </c>
      <c r="AC7" s="2">
        <f>(P7+U7+Y7)/3</f>
        <v>9.8165963942865044</v>
      </c>
    </row>
    <row r="8" spans="1:29" ht="15">
      <c r="A8" t="s">
        <v>30</v>
      </c>
      <c r="B8">
        <v>23161000</v>
      </c>
      <c r="C8" s="2">
        <v>23754229.397999998</v>
      </c>
      <c r="D8" s="2">
        <v>25216646.688000001</v>
      </c>
      <c r="E8" s="2">
        <v>24286113.425999999</v>
      </c>
      <c r="F8">
        <v>34323</v>
      </c>
      <c r="G8" s="12">
        <v>75.599999999999994</v>
      </c>
      <c r="H8">
        <v>5393</v>
      </c>
      <c r="I8" s="2">
        <v>4288488.7649999997</v>
      </c>
      <c r="J8" s="2">
        <f>C8/I8</f>
        <v>5.5390676528914726</v>
      </c>
      <c r="K8" s="2">
        <f>D8/I8</f>
        <v>5.8800775913890035</v>
      </c>
      <c r="L8" s="2">
        <f>E8/I8</f>
        <v>5.6630936343376428</v>
      </c>
      <c r="M8" s="12">
        <f>100-51.2</f>
        <v>48.8</v>
      </c>
      <c r="N8" s="2">
        <f>J8*M8/100</f>
        <v>2.7030650146110382</v>
      </c>
      <c r="O8" s="2">
        <f>K8*M8/100</f>
        <v>2.8694778645978336</v>
      </c>
      <c r="P8" s="2">
        <f>L8*M8/100</f>
        <v>2.7635896935567694</v>
      </c>
      <c r="R8" s="12">
        <v>48.5</v>
      </c>
      <c r="S8" s="16">
        <f>100-48.61</f>
        <v>51.39</v>
      </c>
      <c r="T8" s="2">
        <v>0.59599999999999997</v>
      </c>
      <c r="U8" s="16">
        <f>(0.485+0.5139+0.596)/3</f>
        <v>0.53163333333333329</v>
      </c>
      <c r="V8">
        <v>1676800</v>
      </c>
      <c r="W8" s="2">
        <f>C8/V8</f>
        <v>14.166405890982823</v>
      </c>
      <c r="X8" s="2">
        <f>D8/V8</f>
        <v>15.038553606870229</v>
      </c>
      <c r="Y8" s="2">
        <f>E8/V8</f>
        <v>14.483607720658396</v>
      </c>
      <c r="AA8" s="2">
        <f>(N8+W8+U8)/3</f>
        <v>5.8003680796423973</v>
      </c>
      <c r="AB8" s="2">
        <f>(O8+U8+X8)/3</f>
        <v>6.1465549349337989</v>
      </c>
      <c r="AC8" s="2">
        <f>(P8+U8+Y8)/3</f>
        <v>5.926276915849499</v>
      </c>
    </row>
    <row r="9" spans="1:29" ht="15">
      <c r="A9" t="s">
        <v>31</v>
      </c>
      <c r="B9">
        <v>17718000</v>
      </c>
      <c r="C9" s="2">
        <v>18745362.385000002</v>
      </c>
      <c r="D9" s="2">
        <v>19824512.743000001</v>
      </c>
      <c r="E9" s="2">
        <v>18798407.495000001</v>
      </c>
      <c r="F9">
        <v>26692</v>
      </c>
      <c r="G9" s="12">
        <v>56.8</v>
      </c>
      <c r="H9">
        <v>4001</v>
      </c>
      <c r="I9" s="2">
        <v>2490030.4279999998</v>
      </c>
      <c r="J9" s="2">
        <f>C9/I9</f>
        <v>7.5281659911506926</v>
      </c>
      <c r="K9" s="2">
        <f>D9/I9</f>
        <v>7.9615544131816538</v>
      </c>
      <c r="L9" s="2">
        <f>E9/I9</f>
        <v>7.5494689878544738</v>
      </c>
      <c r="M9" s="12">
        <f>100-50.7</f>
        <v>49.3</v>
      </c>
      <c r="N9" s="2">
        <f>J9*M9/100</f>
        <v>3.7113858336372916</v>
      </c>
      <c r="O9" s="2">
        <f>K9*M9/100</f>
        <v>3.9250463256985553</v>
      </c>
      <c r="P9" s="2">
        <f>L9*M9/100</f>
        <v>3.7218882110122551</v>
      </c>
      <c r="R9" s="12">
        <v>28.4</v>
      </c>
      <c r="S9" s="16" t="s">
        <v>24</v>
      </c>
      <c r="T9" s="2">
        <v>0.621</v>
      </c>
      <c r="U9" s="16">
        <f>(0.284+0.621)/2</f>
        <v>0.45250000000000001</v>
      </c>
      <c r="V9">
        <v>1804300</v>
      </c>
      <c r="W9" s="2">
        <f>C9/V9</f>
        <v>10.389271398880453</v>
      </c>
      <c r="X9" s="2">
        <f>D9/V9</f>
        <v>10.9873705830516</v>
      </c>
      <c r="Y9" s="2">
        <f>E9/V9</f>
        <v>10.418670672837113</v>
      </c>
      <c r="AA9" s="2">
        <f>(N9+W9+U9)/3</f>
        <v>4.8510524108392481</v>
      </c>
      <c r="AB9" s="2">
        <f>(O9+U9+X9)/3</f>
        <v>5.121638969583385</v>
      </c>
      <c r="AC9" s="2">
        <f>(P9+U9+Y9)/3</f>
        <v>4.8643529612831227</v>
      </c>
    </row>
    <row r="10" spans="1:29" ht="15">
      <c r="A10" t="s">
        <v>32</v>
      </c>
      <c r="B10">
        <v>23642000</v>
      </c>
      <c r="C10" s="2">
        <v>27603245.068</v>
      </c>
      <c r="D10" s="2">
        <v>29633379.73</v>
      </c>
      <c r="E10" s="2">
        <v>26862421.420000002</v>
      </c>
      <c r="F10">
        <v>19299</v>
      </c>
      <c r="G10" s="12">
        <v>46.9</v>
      </c>
      <c r="H10">
        <v>4447</v>
      </c>
      <c r="I10" s="2">
        <v>1590670.7139999999</v>
      </c>
      <c r="J10" s="2">
        <f>C10/I10</f>
        <v>17.353211337239721</v>
      </c>
      <c r="K10" s="2">
        <f>D10/I10</f>
        <v>18.629487215164762</v>
      </c>
      <c r="L10" s="2">
        <f>E10/I10</f>
        <v>16.887480974896484</v>
      </c>
      <c r="M10" s="12">
        <f>100-69</f>
        <v>31</v>
      </c>
      <c r="N10" s="2">
        <f>J10*M10/100</f>
        <v>5.3794955145443133</v>
      </c>
      <c r="O10" s="2">
        <f>K10*M10/100</f>
        <v>5.7751410367010756</v>
      </c>
      <c r="P10" s="2">
        <f>L10*M10/100</f>
        <v>5.2351191022179107</v>
      </c>
      <c r="R10" s="12">
        <v>32.6</v>
      </c>
      <c r="S10" s="16" t="s">
        <v>24</v>
      </c>
      <c r="T10" s="2">
        <v>5.0000000000000001E-3</v>
      </c>
      <c r="U10" s="16">
        <f>(0.326+0.005)/2</f>
        <v>0.16550000000000001</v>
      </c>
      <c r="V10">
        <v>2573800</v>
      </c>
      <c r="W10" s="2">
        <f>C10/V10</f>
        <v>10.724704743181288</v>
      </c>
      <c r="X10" s="2">
        <f>D10/V10</f>
        <v>11.513474135519466</v>
      </c>
      <c r="Y10" s="2">
        <f>E10/V10</f>
        <v>10.436872103504546</v>
      </c>
      <c r="AA10" s="2">
        <f>(N10+W10+U10)/3</f>
        <v>5.4232334192418676</v>
      </c>
      <c r="AB10" s="2">
        <f>(O10+U10+X10)/3</f>
        <v>5.8180383907401803</v>
      </c>
      <c r="AC10" s="2">
        <f>(P10+U10+Y10)/3</f>
        <v>5.2791637352408189</v>
      </c>
    </row>
    <row r="11" spans="1:29" ht="15">
      <c r="A11" t="s">
        <v>33</v>
      </c>
      <c r="B11">
        <v>3756000</v>
      </c>
      <c r="C11" s="2">
        <v>3801380.13</v>
      </c>
      <c r="D11" s="2">
        <v>4116525.18</v>
      </c>
      <c r="E11" s="2">
        <v>4143642.04</v>
      </c>
      <c r="F11">
        <v>1489</v>
      </c>
      <c r="G11" s="12">
        <v>41</v>
      </c>
      <c r="H11">
        <v>478</v>
      </c>
      <c r="I11" s="2">
        <v>115187.4584</v>
      </c>
      <c r="J11" s="2">
        <f>C11/I11</f>
        <v>33.001684235442767</v>
      </c>
      <c r="K11" s="2">
        <f>D11/I11</f>
        <v>35.73761620561983</v>
      </c>
      <c r="L11" s="2">
        <f>E11/I11</f>
        <v>35.973031244519582</v>
      </c>
      <c r="M11" s="12">
        <f>100-58.4</f>
        <v>41.6</v>
      </c>
      <c r="N11" s="2">
        <f>J11*M11/100</f>
        <v>13.728700641944192</v>
      </c>
      <c r="O11" s="2">
        <f>K11*M11/100</f>
        <v>14.86684834153785</v>
      </c>
      <c r="P11" s="2">
        <f>L11*M11/100</f>
        <v>14.964780997720148</v>
      </c>
      <c r="R11" s="12">
        <v>62.3</v>
      </c>
      <c r="S11" s="16" t="s">
        <v>24</v>
      </c>
      <c r="T11" s="2">
        <v>1</v>
      </c>
      <c r="U11" s="16">
        <f>(0.623+1)/2</f>
        <v>0.8115</v>
      </c>
      <c r="V11">
        <v>297000</v>
      </c>
      <c r="W11" s="2">
        <f>C11/V11</f>
        <v>12.799259696969697</v>
      </c>
      <c r="X11" s="2">
        <f>D11/V11</f>
        <v>13.860354141414142</v>
      </c>
      <c r="Y11" s="2">
        <f>E11/V11</f>
        <v>13.9516567003367</v>
      </c>
      <c r="AA11" s="2">
        <f>(N11+W11+U11)/3</f>
        <v>9.1131534463046293</v>
      </c>
      <c r="AB11" s="2">
        <f>(O11+U11+X11)/3</f>
        <v>9.8462341609839967</v>
      </c>
      <c r="AC11" s="2">
        <f>(P11+U11+Y11)/3</f>
        <v>9.9093125660189489</v>
      </c>
    </row>
    <row r="12" spans="1:29" ht="15">
      <c r="A12" t="s">
        <v>34</v>
      </c>
      <c r="B12">
        <v>15462000</v>
      </c>
      <c r="C12" s="2">
        <v>15854045.747</v>
      </c>
      <c r="D12" s="2">
        <v>16611841.946</v>
      </c>
      <c r="E12" s="2">
        <v>15886751.784</v>
      </c>
      <c r="F12">
        <v>11190</v>
      </c>
      <c r="G12" s="12">
        <v>46.3</v>
      </c>
      <c r="H12">
        <v>3789</v>
      </c>
      <c r="I12" s="2">
        <v>990560.0098</v>
      </c>
      <c r="J12" s="2">
        <f>C12/I12</f>
        <v>16.00513405563488</v>
      </c>
      <c r="K12" s="2">
        <f>D12/I12</f>
        <v>16.770152016690066</v>
      </c>
      <c r="L12" s="2">
        <f>E12/I12</f>
        <v>16.038151779625778</v>
      </c>
      <c r="M12" s="12">
        <f>100-60.6</f>
        <v>39.4</v>
      </c>
      <c r="N12" s="2">
        <f>J12*M12/100</f>
        <v>6.3060228179201419</v>
      </c>
      <c r="O12" s="2">
        <f>K12*M12/100</f>
        <v>6.6074398945758857</v>
      </c>
      <c r="P12" s="2">
        <f>L12*M12/100</f>
        <v>6.3190318011725557</v>
      </c>
      <c r="R12" s="12">
        <v>42</v>
      </c>
      <c r="S12" s="16">
        <f>100-38.26</f>
        <v>61.74</v>
      </c>
      <c r="T12" s="2">
        <v>0.621</v>
      </c>
      <c r="U12" s="16">
        <f>(0.42+0.6174+0.621)/3</f>
        <v>0.55279999999999996</v>
      </c>
      <c r="V12">
        <v>1245800</v>
      </c>
      <c r="W12" s="2">
        <f>C12/V12</f>
        <v>12.725995943971744</v>
      </c>
      <c r="X12" s="2">
        <f>D12/V12</f>
        <v>13.334276726601381</v>
      </c>
      <c r="Y12" s="2">
        <f>E12/V12</f>
        <v>12.752248983785519</v>
      </c>
      <c r="AA12" s="2">
        <f>(N12+W12+U12)/3</f>
        <v>6.5282729206306298</v>
      </c>
      <c r="AB12" s="2">
        <f>(O12+U12+X12)/3</f>
        <v>6.8315055403924232</v>
      </c>
      <c r="AC12" s="2">
        <f>(P12+U12+Y12)/3</f>
        <v>6.5413602616526916</v>
      </c>
    </row>
    <row r="13" spans="1:29" ht="15">
      <c r="A13" t="s">
        <v>35</v>
      </c>
      <c r="B13">
        <v>22361000</v>
      </c>
      <c r="C13" s="2">
        <v>22631048.300999999</v>
      </c>
      <c r="D13" s="2">
        <v>23834673.258000001</v>
      </c>
      <c r="E13" s="2">
        <v>21819796.602000002</v>
      </c>
      <c r="F13">
        <v>27208</v>
      </c>
      <c r="G13" s="12">
        <v>51.6</v>
      </c>
      <c r="H13">
        <v>3492</v>
      </c>
      <c r="I13" s="2">
        <v>2262585.7949999999</v>
      </c>
      <c r="J13" s="2">
        <f>C13/I13</f>
        <v>10.00229399080091</v>
      </c>
      <c r="K13" s="2">
        <f>D13/I13</f>
        <v>10.534262749581172</v>
      </c>
      <c r="L13" s="2">
        <f>E13/I13</f>
        <v>9.6437433003507405</v>
      </c>
      <c r="M13" s="12">
        <f>100-54.6</f>
        <v>45.4</v>
      </c>
      <c r="N13" s="2">
        <f>J13*M13/100</f>
        <v>4.541041471823613</v>
      </c>
      <c r="O13" s="2">
        <f>K13*M13/100</f>
        <v>4.7825552883098519</v>
      </c>
      <c r="P13" s="2">
        <f>L13*M13/100</f>
        <v>4.3782594583592358</v>
      </c>
      <c r="R13" s="12">
        <v>38.6</v>
      </c>
      <c r="S13" s="16">
        <f>100-33.72</f>
        <v>66.28</v>
      </c>
      <c r="T13" s="2">
        <v>0.621</v>
      </c>
      <c r="U13" s="16">
        <f>(0.386+0.6628+0.621)/3</f>
        <v>0.55659999999999998</v>
      </c>
      <c r="V13">
        <v>3754500</v>
      </c>
      <c r="W13" s="2">
        <f>C13/V13</f>
        <v>6.0277129580503397</v>
      </c>
      <c r="X13" s="2">
        <f>D13/V13</f>
        <v>6.3482949149021177</v>
      </c>
      <c r="Y13" s="2">
        <f>E13/V13</f>
        <v>5.8116384610467442</v>
      </c>
      <c r="AA13" s="2">
        <f>(N13+W13+U13)/3</f>
        <v>3.7084514766246506</v>
      </c>
      <c r="AB13" s="2">
        <f>(O13+U13+X13)/3</f>
        <v>3.89581673440399</v>
      </c>
      <c r="AC13" s="2">
        <f>(P13+U13+Y13)/3</f>
        <v>3.5821659731353268</v>
      </c>
    </row>
    <row r="14" spans="1:29" ht="15">
      <c r="A14" t="s">
        <v>36</v>
      </c>
      <c r="B14">
        <v>22722000</v>
      </c>
      <c r="C14" s="2">
        <v>20474047.677000001</v>
      </c>
      <c r="D14" s="2">
        <v>20984762.388999999</v>
      </c>
      <c r="E14" s="2">
        <v>21980587.07</v>
      </c>
      <c r="F14">
        <v>27913</v>
      </c>
      <c r="G14" s="12">
        <v>47.7</v>
      </c>
      <c r="H14">
        <v>1945</v>
      </c>
      <c r="I14" s="2">
        <v>2034211.344</v>
      </c>
      <c r="J14" s="2">
        <f>C14/I14</f>
        <v>10.064857684226935</v>
      </c>
      <c r="K14" s="2">
        <f>D14/I14</f>
        <v>10.315920443023543</v>
      </c>
      <c r="L14" s="2">
        <f>E14/I14</f>
        <v>10.805458899259781</v>
      </c>
      <c r="M14" s="12">
        <f>100-66.5</f>
        <v>33.5</v>
      </c>
      <c r="N14" s="2">
        <f>J14*M14/100</f>
        <v>3.3717273242160228</v>
      </c>
      <c r="O14" s="2">
        <f>K14*M14/100</f>
        <v>3.4558333484128871</v>
      </c>
      <c r="P14" s="2">
        <f>L14*M14/100</f>
        <v>3.6198287312520265</v>
      </c>
      <c r="R14" s="12">
        <v>46.1</v>
      </c>
      <c r="S14" s="16" t="s">
        <v>24</v>
      </c>
      <c r="T14" s="2">
        <v>0.621</v>
      </c>
      <c r="U14" s="16">
        <f>(0.461+0.621)/2</f>
        <v>0.54100000000000004</v>
      </c>
      <c r="V14">
        <v>2528900</v>
      </c>
      <c r="W14" s="2">
        <f>C14/V14</f>
        <v>8.0960289758392978</v>
      </c>
      <c r="X14" s="2">
        <f>D14/V14</f>
        <v>8.2979803032939223</v>
      </c>
      <c r="Y14" s="2">
        <f>E14/V14</f>
        <v>8.691758104314129</v>
      </c>
      <c r="AA14" s="2">
        <f>(N14+W14+U14)/3</f>
        <v>4.0029187666851067</v>
      </c>
      <c r="AB14" s="2">
        <f>(O14+U14+X14)/3</f>
        <v>4.0982712172356033</v>
      </c>
      <c r="AC14" s="2">
        <f>(P14+U14+Y14)/3</f>
        <v>4.2841956118553854</v>
      </c>
    </row>
    <row r="15" spans="1:29" ht="15">
      <c r="A15" t="s">
        <v>37</v>
      </c>
      <c r="B15">
        <v>35060000</v>
      </c>
      <c r="C15" s="2">
        <v>31515096.936999999</v>
      </c>
      <c r="D15" s="2">
        <v>33227252.936000001</v>
      </c>
      <c r="E15" s="2">
        <v>35971135.252999999</v>
      </c>
      <c r="F15">
        <v>63973</v>
      </c>
      <c r="G15" s="12">
        <v>62.6</v>
      </c>
      <c r="H15">
        <v>8207</v>
      </c>
      <c r="I15" s="2">
        <v>6453691.3320000004</v>
      </c>
      <c r="J15" s="2">
        <f>C15/I15</f>
        <v>4.8832668492736024</v>
      </c>
      <c r="K15" s="2">
        <f>D15/I15</f>
        <v>5.148565561424653</v>
      </c>
      <c r="L15" s="2">
        <f>E15/I15</f>
        <v>5.5737303509761347</v>
      </c>
      <c r="M15" s="12">
        <f>100-48.3</f>
        <v>51.7</v>
      </c>
      <c r="N15" s="2">
        <f>J15*M15/100</f>
        <v>2.5246489610744529</v>
      </c>
      <c r="O15" s="2">
        <f>K15*M15/100</f>
        <v>2.6618083952565454</v>
      </c>
      <c r="P15" s="2">
        <f>L15*M15/100</f>
        <v>2.8816185914546617</v>
      </c>
      <c r="R15" s="12">
        <v>26.8</v>
      </c>
      <c r="S15" s="16" t="s">
        <v>24</v>
      </c>
      <c r="T15" s="2">
        <v>0.23699999999999999</v>
      </c>
      <c r="U15" s="16">
        <f>(0.268+0.237)/2</f>
        <v>0.2525</v>
      </c>
      <c r="V15">
        <v>2075200</v>
      </c>
      <c r="W15" s="2">
        <f>C15/V15</f>
        <v>15.186534761468774</v>
      </c>
      <c r="X15" s="2">
        <f>D15/V15</f>
        <v>16.011590659213571</v>
      </c>
      <c r="Y15" s="2">
        <f>E15/V15</f>
        <v>17.333816139649191</v>
      </c>
      <c r="AA15" s="2">
        <f>(N15+W15+U15)/3</f>
        <v>5.9878945741810758</v>
      </c>
      <c r="AB15" s="2">
        <f>(O15+U15+X15)/3</f>
        <v>6.308633018156705</v>
      </c>
      <c r="AC15" s="2">
        <f>(P15+U15+Y15)/3</f>
        <v>6.8226449103679512</v>
      </c>
    </row>
    <row r="16" spans="1:29" ht="15">
      <c r="A16" t="s">
        <v>38</v>
      </c>
      <c r="B16">
        <v>604000</v>
      </c>
      <c r="C16" s="2">
        <v>360562.19199999998</v>
      </c>
      <c r="D16" s="2">
        <v>355513.46600000001</v>
      </c>
      <c r="E16" s="2">
        <v>408693.16399999999</v>
      </c>
      <c r="F16">
        <v>2296</v>
      </c>
      <c r="G16" s="12">
        <v>37</v>
      </c>
      <c r="H16">
        <v>54</v>
      </c>
      <c r="I16" s="2">
        <v>124189.98239999999</v>
      </c>
      <c r="J16" s="2">
        <f>C16/I16</f>
        <v>2.9033114026755831</v>
      </c>
      <c r="K16" s="2">
        <f>D16/I16</f>
        <v>2.8626581559125821</v>
      </c>
      <c r="L16" s="2">
        <f>E16/I16</f>
        <v>3.2908706169524349</v>
      </c>
      <c r="M16" s="12">
        <f>100-38.9</f>
        <v>61.1</v>
      </c>
      <c r="N16" s="2">
        <f>J16*M16/100</f>
        <v>1.7739232670347811</v>
      </c>
      <c r="O16" s="2">
        <f>K16*M16/100</f>
        <v>1.7490841332625877</v>
      </c>
      <c r="P16" s="2">
        <f>L16*M16/100</f>
        <v>2.0107219469579376</v>
      </c>
      <c r="R16" s="12">
        <v>38.6</v>
      </c>
      <c r="S16" s="16" t="s">
        <v>24</v>
      </c>
      <c r="T16" s="2">
        <v>0.621</v>
      </c>
      <c r="U16" s="16">
        <f>(0.386+0.621)/2</f>
        <v>0.50350000000000006</v>
      </c>
      <c r="V16">
        <v>100900</v>
      </c>
      <c r="W16" s="2">
        <f>C16/V16</f>
        <v>3.5734607730426164</v>
      </c>
      <c r="X16" s="2">
        <f>D16/V16</f>
        <v>3.523423845391477</v>
      </c>
      <c r="Y16" s="2">
        <f>E16/V16</f>
        <v>4.0504773439048565</v>
      </c>
      <c r="AA16" s="2">
        <f>(N16+U16+W16)/3</f>
        <v>1.9502946800257994</v>
      </c>
      <c r="AB16" s="2">
        <f>(O16+U16+X16)/3</f>
        <v>1.925335992884688</v>
      </c>
      <c r="AC16" s="2">
        <f>(P16+U16+Y16)/3</f>
        <v>2.1882330969542649</v>
      </c>
    </row>
    <row r="17" spans="1:29" ht="15">
      <c r="A17" t="s">
        <v>39</v>
      </c>
      <c r="B17">
        <v>3146000</v>
      </c>
      <c r="C17" s="2">
        <v>2828938.6860000002</v>
      </c>
      <c r="D17" s="2">
        <v>3017123.9419999998</v>
      </c>
      <c r="E17" s="2">
        <v>3254983.398</v>
      </c>
      <c r="F17">
        <v>2580</v>
      </c>
      <c r="G17" s="12">
        <v>56.5</v>
      </c>
      <c r="H17">
        <v>115</v>
      </c>
      <c r="I17" s="2">
        <v>217482.43979999999</v>
      </c>
      <c r="J17" s="2">
        <f>C17/I17</f>
        <v>13.007664842281212</v>
      </c>
      <c r="K17" s="2">
        <f>D17/I17</f>
        <v>13.872954270581987</v>
      </c>
      <c r="L17" s="2">
        <f>E17/I17</f>
        <v>14.966649265997429</v>
      </c>
      <c r="M17" s="12">
        <f>100-46.1</f>
        <v>53.9</v>
      </c>
      <c r="N17" s="2">
        <f>J17*M17/100</f>
        <v>7.0111313499895731</v>
      </c>
      <c r="O17" s="2">
        <f>K17*M17/100</f>
        <v>7.4775223518436906</v>
      </c>
      <c r="P17" s="2">
        <f>L17*M17/100</f>
        <v>8.0670239543726137</v>
      </c>
      <c r="R17" s="12">
        <v>26.8</v>
      </c>
      <c r="S17" s="16" t="s">
        <v>24</v>
      </c>
      <c r="T17" s="2">
        <v>0.621</v>
      </c>
      <c r="U17" s="16">
        <f>(0.268+0.621)/2</f>
        <v>0.44450000000000001</v>
      </c>
      <c r="V17">
        <v>120700</v>
      </c>
      <c r="W17" s="2">
        <f>C17/V17</f>
        <v>23.437768732394368</v>
      </c>
      <c r="X17" s="2">
        <f>D17/V17</f>
        <v>24.996884357912176</v>
      </c>
      <c r="Y17" s="2">
        <f>E17/V17</f>
        <v>26.96755093620547</v>
      </c>
      <c r="AA17" s="2">
        <f>(N17+U17+W17)/3</f>
        <v>10.297800027461314</v>
      </c>
      <c r="AB17" s="2">
        <f>(O17+U17+X17)/3</f>
        <v>10.972968903251955</v>
      </c>
      <c r="AC17" s="2">
        <f>(P17+U17+Y17)/3</f>
        <v>11.826358296859361</v>
      </c>
    </row>
    <row r="18" spans="1:29">
      <c r="A18" t="s">
        <v>40</v>
      </c>
      <c r="B18">
        <v>2.5554999999999999</v>
      </c>
      <c r="T18" s="15"/>
      <c r="U18" s="15"/>
      <c r="W18" s="2"/>
      <c r="X18" s="2"/>
      <c r="Y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E65C-6E6D-4CA3-A4BE-81FD88FA17D7}">
  <dimension ref="A1:C17"/>
  <sheetViews>
    <sheetView workbookViewId="0">
      <selection activeCell="D4" sqref="D4"/>
    </sheetView>
  </sheetViews>
  <sheetFormatPr defaultRowHeight="15"/>
  <sheetData>
    <row r="1" spans="1:3" ht="51">
      <c r="A1" s="13"/>
      <c r="B1" s="13" t="s">
        <v>41</v>
      </c>
    </row>
    <row r="2" spans="1:3">
      <c r="A2">
        <v>10039</v>
      </c>
      <c r="B2">
        <v>2382.8000000000002</v>
      </c>
    </row>
    <row r="3" spans="1:3">
      <c r="A3">
        <v>4151.5</v>
      </c>
      <c r="B3">
        <v>3169.1</v>
      </c>
      <c r="C3">
        <f>B3/A3</f>
        <v>0.76336264000963505</v>
      </c>
    </row>
    <row r="4" spans="1:3">
      <c r="A4">
        <v>1689.7</v>
      </c>
      <c r="B4">
        <v>1696</v>
      </c>
      <c r="C4">
        <f>B4/A4</f>
        <v>1.0037284725099129</v>
      </c>
    </row>
    <row r="5" spans="1:3">
      <c r="A5">
        <v>889</v>
      </c>
    </row>
    <row r="6" spans="1:3">
      <c r="A6">
        <v>1094.3</v>
      </c>
      <c r="B6">
        <v>1094.3</v>
      </c>
      <c r="C6">
        <f>B6/A6</f>
        <v>1</v>
      </c>
    </row>
    <row r="7" spans="1:3">
      <c r="A7">
        <v>536.70000000000005</v>
      </c>
      <c r="B7">
        <v>1115</v>
      </c>
      <c r="C7">
        <f>B7/A7</f>
        <v>2.077510713620272</v>
      </c>
    </row>
    <row r="8" spans="1:3">
      <c r="A8">
        <v>1265.4000000000001</v>
      </c>
      <c r="B8">
        <v>754</v>
      </c>
      <c r="C8">
        <f>B8/A8</f>
        <v>0.59585901691164844</v>
      </c>
    </row>
    <row r="9" spans="1:3">
      <c r="A9">
        <v>2000</v>
      </c>
    </row>
    <row r="10" spans="1:3">
      <c r="A10">
        <v>2293</v>
      </c>
      <c r="B10">
        <v>12.1</v>
      </c>
      <c r="C10">
        <f>B10/A10</f>
        <v>5.2769297863061492E-3</v>
      </c>
    </row>
    <row r="11" spans="1:3">
      <c r="A11">
        <v>177</v>
      </c>
      <c r="B11">
        <v>177</v>
      </c>
      <c r="C11">
        <f>B11/A11</f>
        <v>1</v>
      </c>
    </row>
    <row r="12" spans="1:3">
      <c r="A12">
        <v>796</v>
      </c>
    </row>
    <row r="13" spans="1:3">
      <c r="A13">
        <v>1411.6</v>
      </c>
    </row>
    <row r="14" spans="1:3">
      <c r="A14">
        <v>3278</v>
      </c>
    </row>
    <row r="15" spans="1:3">
      <c r="A15">
        <v>10039</v>
      </c>
      <c r="B15">
        <v>2382.8000000000002</v>
      </c>
      <c r="C15">
        <f>B15/A15</f>
        <v>0.23735431815917921</v>
      </c>
    </row>
    <row r="16" spans="1:3">
      <c r="A16">
        <v>90</v>
      </c>
    </row>
    <row r="17" spans="1:1">
      <c r="A17">
        <v>10039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A880-2D2F-43E8-BBB0-6F5CDCBA614D}">
  <dimension ref="A1:F19"/>
  <sheetViews>
    <sheetView topLeftCell="D1" zoomScale="79" workbookViewId="0">
      <selection activeCell="A2" sqref="A2"/>
    </sheetView>
  </sheetViews>
  <sheetFormatPr defaultRowHeight="14.45"/>
  <cols>
    <col min="1" max="1" width="26.85546875" customWidth="1"/>
    <col min="2" max="2" width="22" customWidth="1"/>
    <col min="3" max="3" width="31.85546875" customWidth="1"/>
    <col min="4" max="4" width="24.7109375" customWidth="1"/>
    <col min="5" max="5" width="22.7109375" customWidth="1"/>
    <col min="6" max="6" width="20.5703125" customWidth="1"/>
    <col min="7" max="7" width="30.42578125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1</v>
      </c>
      <c r="F1" t="s">
        <v>45</v>
      </c>
    </row>
    <row r="2" spans="1:6">
      <c r="A2" t="s">
        <v>25</v>
      </c>
      <c r="B2">
        <v>7814416</v>
      </c>
      <c r="C2" s="1">
        <v>0.223</v>
      </c>
      <c r="D2">
        <v>19204000</v>
      </c>
      <c r="E2">
        <v>31971</v>
      </c>
      <c r="F2">
        <v>488</v>
      </c>
    </row>
    <row r="3" spans="1:6">
      <c r="A3" t="s">
        <v>26</v>
      </c>
      <c r="B3">
        <v>4961150</v>
      </c>
      <c r="C3" s="1">
        <v>0.14199999999999999</v>
      </c>
      <c r="D3">
        <v>15984000</v>
      </c>
      <c r="E3">
        <v>13154</v>
      </c>
      <c r="F3">
        <v>175</v>
      </c>
    </row>
    <row r="4" spans="1:6">
      <c r="A4" t="s">
        <v>46</v>
      </c>
      <c r="B4" s="3">
        <v>4540611</v>
      </c>
      <c r="C4" s="1">
        <v>0.107</v>
      </c>
      <c r="D4">
        <v>12464000</v>
      </c>
      <c r="E4">
        <v>4360</v>
      </c>
      <c r="F4">
        <v>91</v>
      </c>
    </row>
    <row r="5" spans="1:6">
      <c r="A5" t="s">
        <v>28</v>
      </c>
      <c r="B5" s="3">
        <v>7933206</v>
      </c>
      <c r="C5" s="1">
        <v>0.28399999999999997</v>
      </c>
      <c r="D5">
        <v>24174000</v>
      </c>
      <c r="E5">
        <v>18268</v>
      </c>
      <c r="F5">
        <v>177</v>
      </c>
    </row>
    <row r="6" spans="1:6">
      <c r="A6" t="s">
        <v>29</v>
      </c>
      <c r="B6" s="3">
        <v>5869462</v>
      </c>
      <c r="C6" s="1">
        <v>0.23200000000000001</v>
      </c>
      <c r="D6">
        <v>21817000</v>
      </c>
      <c r="E6">
        <v>9607</v>
      </c>
      <c r="F6">
        <v>145</v>
      </c>
    </row>
    <row r="7" spans="1:6">
      <c r="A7" t="s">
        <v>30</v>
      </c>
      <c r="B7" s="3">
        <v>8709759</v>
      </c>
      <c r="C7" s="1">
        <v>0.32100000000000001</v>
      </c>
      <c r="D7">
        <v>22665000</v>
      </c>
      <c r="E7">
        <v>25624</v>
      </c>
      <c r="F7">
        <v>303</v>
      </c>
    </row>
    <row r="8" spans="1:6">
      <c r="A8" t="s">
        <v>31</v>
      </c>
      <c r="B8" s="3">
        <v>7424291</v>
      </c>
      <c r="C8" s="1">
        <v>0.317</v>
      </c>
      <c r="D8">
        <v>19160000</v>
      </c>
      <c r="E8">
        <v>25389</v>
      </c>
      <c r="F8">
        <v>250</v>
      </c>
    </row>
    <row r="9" spans="1:6">
      <c r="A9" t="s">
        <v>32</v>
      </c>
      <c r="B9" s="3">
        <v>7223798</v>
      </c>
      <c r="C9" s="1">
        <v>0.16200000000000001</v>
      </c>
      <c r="D9">
        <v>23904000</v>
      </c>
      <c r="E9">
        <v>16429</v>
      </c>
      <c r="F9">
        <v>330</v>
      </c>
    </row>
    <row r="10" spans="1:6">
      <c r="A10" t="s">
        <v>33</v>
      </c>
      <c r="B10" s="3">
        <v>1002814</v>
      </c>
      <c r="C10" s="1">
        <v>0.16900000000000001</v>
      </c>
      <c r="D10">
        <v>3660000</v>
      </c>
      <c r="E10">
        <v>1285</v>
      </c>
      <c r="F10">
        <v>32</v>
      </c>
    </row>
    <row r="11" spans="1:6">
      <c r="A11" t="s">
        <v>23</v>
      </c>
      <c r="B11" s="3">
        <v>14226126</v>
      </c>
      <c r="C11" s="1">
        <v>0.13800000000000001</v>
      </c>
      <c r="D11">
        <v>37023000</v>
      </c>
      <c r="E11">
        <v>26089</v>
      </c>
      <c r="F11">
        <v>210</v>
      </c>
    </row>
    <row r="12" spans="1:6">
      <c r="A12" t="s">
        <v>34</v>
      </c>
      <c r="B12" s="3">
        <v>5170363</v>
      </c>
      <c r="C12" s="1">
        <v>0.20399999999999999</v>
      </c>
      <c r="D12">
        <v>16499000</v>
      </c>
      <c r="E12">
        <v>11487</v>
      </c>
      <c r="F12">
        <v>250</v>
      </c>
    </row>
    <row r="13" spans="1:6">
      <c r="A13" t="s">
        <v>35</v>
      </c>
      <c r="B13" s="3">
        <v>8634247</v>
      </c>
      <c r="C13" s="1">
        <v>0.191</v>
      </c>
      <c r="D13">
        <v>24106000</v>
      </c>
      <c r="E13">
        <v>24329</v>
      </c>
      <c r="F13">
        <v>424</v>
      </c>
    </row>
    <row r="14" spans="1:6">
      <c r="A14" t="s">
        <v>36</v>
      </c>
      <c r="B14" s="3">
        <v>7956671</v>
      </c>
      <c r="C14" s="1">
        <v>0.20200000000000001</v>
      </c>
      <c r="D14">
        <v>23362000</v>
      </c>
      <c r="E14">
        <v>21194</v>
      </c>
      <c r="F14">
        <v>387</v>
      </c>
    </row>
    <row r="15" spans="1:6">
      <c r="A15" t="s">
        <v>47</v>
      </c>
      <c r="B15" s="3">
        <v>14077658</v>
      </c>
      <c r="C15" s="1">
        <v>0.29099999999999998</v>
      </c>
      <c r="D15">
        <v>30640000</v>
      </c>
      <c r="E15">
        <v>47525</v>
      </c>
      <c r="F15">
        <v>254</v>
      </c>
    </row>
    <row r="16" spans="1:6">
      <c r="A16" t="s">
        <v>48</v>
      </c>
      <c r="B16" s="3">
        <v>264563</v>
      </c>
      <c r="C16" s="1">
        <v>0.45200000000000001</v>
      </c>
      <c r="D16">
        <v>482000</v>
      </c>
      <c r="E16">
        <v>1697</v>
      </c>
      <c r="F16">
        <v>41</v>
      </c>
    </row>
    <row r="17" spans="1:6">
      <c r="A17" t="s">
        <v>39</v>
      </c>
      <c r="B17" s="3">
        <v>936976</v>
      </c>
      <c r="C17" s="4">
        <v>0.26</v>
      </c>
      <c r="D17">
        <v>2711000</v>
      </c>
      <c r="E17">
        <v>1769</v>
      </c>
      <c r="F17">
        <v>7</v>
      </c>
    </row>
    <row r="19" spans="1:6">
      <c r="A19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5A07-AF25-4021-80AA-5E0A275A4901}">
  <dimension ref="A1:E18"/>
  <sheetViews>
    <sheetView workbookViewId="0">
      <selection activeCell="C19" sqref="C19"/>
    </sheetView>
  </sheetViews>
  <sheetFormatPr defaultRowHeight="15"/>
  <cols>
    <col min="1" max="1" width="18.140625" customWidth="1"/>
    <col min="2" max="2" width="15" customWidth="1"/>
    <col min="3" max="3" width="18" customWidth="1"/>
    <col min="4" max="4" width="16.42578125" customWidth="1"/>
    <col min="5" max="5" width="20.42578125" customWidth="1"/>
  </cols>
  <sheetData>
    <row r="1" spans="1:5">
      <c r="A1" s="21" t="s">
        <v>0</v>
      </c>
      <c r="B1" s="21">
        <v>2025</v>
      </c>
      <c r="C1" s="21"/>
      <c r="D1" s="21"/>
      <c r="E1" s="21"/>
    </row>
    <row r="2" spans="1:5">
      <c r="A2" s="21"/>
      <c r="B2" t="s">
        <v>50</v>
      </c>
      <c r="C2" s="19" t="s">
        <v>51</v>
      </c>
      <c r="D2" s="19"/>
      <c r="E2" s="19"/>
    </row>
    <row r="3" spans="1:5">
      <c r="A3" t="s">
        <v>25</v>
      </c>
      <c r="B3">
        <v>7382730</v>
      </c>
      <c r="C3">
        <v>3250524</v>
      </c>
    </row>
    <row r="4" spans="1:5">
      <c r="A4" t="s">
        <v>26</v>
      </c>
      <c r="B4">
        <v>3121208</v>
      </c>
      <c r="C4">
        <v>2109996</v>
      </c>
    </row>
    <row r="5" spans="1:5">
      <c r="A5" t="s">
        <v>46</v>
      </c>
      <c r="B5">
        <v>1399111</v>
      </c>
      <c r="C5">
        <v>59329</v>
      </c>
    </row>
    <row r="6" spans="1:5">
      <c r="A6" t="s">
        <v>28</v>
      </c>
      <c r="B6">
        <v>3484720</v>
      </c>
      <c r="C6">
        <v>1654330</v>
      </c>
    </row>
    <row r="7" spans="1:5">
      <c r="A7" t="s">
        <v>29</v>
      </c>
      <c r="B7">
        <v>2154435</v>
      </c>
      <c r="C7">
        <v>497085</v>
      </c>
    </row>
    <row r="8" spans="1:5">
      <c r="A8" t="s">
        <v>30</v>
      </c>
      <c r="B8">
        <v>10011366</v>
      </c>
      <c r="C8">
        <v>2953226</v>
      </c>
    </row>
    <row r="9" spans="1:5">
      <c r="A9" t="s">
        <v>31</v>
      </c>
      <c r="B9">
        <v>5293653</v>
      </c>
      <c r="C9">
        <v>3472459</v>
      </c>
    </row>
    <row r="10" spans="1:5">
      <c r="A10" t="s">
        <v>32</v>
      </c>
      <c r="B10">
        <v>4291891</v>
      </c>
      <c r="C10">
        <v>944578</v>
      </c>
    </row>
    <row r="11" spans="1:5">
      <c r="A11" t="s">
        <v>33</v>
      </c>
      <c r="B11">
        <v>324884</v>
      </c>
      <c r="C11">
        <v>8334</v>
      </c>
    </row>
    <row r="12" spans="1:5">
      <c r="A12" t="s">
        <v>23</v>
      </c>
      <c r="B12">
        <v>6296432</v>
      </c>
      <c r="C12">
        <v>3614885</v>
      </c>
    </row>
    <row r="13" spans="1:5">
      <c r="A13" t="s">
        <v>34</v>
      </c>
      <c r="B13">
        <v>2414955</v>
      </c>
      <c r="C13">
        <v>276786</v>
      </c>
    </row>
    <row r="14" spans="1:5">
      <c r="A14" t="s">
        <v>35</v>
      </c>
      <c r="B14">
        <v>4445738</v>
      </c>
      <c r="C14">
        <v>2900293</v>
      </c>
    </row>
    <row r="15" spans="1:5">
      <c r="A15" t="s">
        <v>36</v>
      </c>
      <c r="B15">
        <v>5760526</v>
      </c>
      <c r="C15">
        <v>1222481</v>
      </c>
    </row>
    <row r="16" spans="1:5">
      <c r="A16" t="s">
        <v>47</v>
      </c>
      <c r="B16">
        <v>10353924</v>
      </c>
      <c r="C16">
        <v>13383492</v>
      </c>
    </row>
    <row r="17" spans="1:3">
      <c r="A17" t="s">
        <v>48</v>
      </c>
      <c r="B17">
        <v>423944</v>
      </c>
      <c r="C17">
        <v>55107</v>
      </c>
    </row>
    <row r="18" spans="1:3">
      <c r="A18" t="s">
        <v>39</v>
      </c>
      <c r="B18">
        <v>566830</v>
      </c>
      <c r="C18">
        <v>222220</v>
      </c>
    </row>
  </sheetData>
  <mergeCells count="3">
    <mergeCell ref="B1:C1"/>
    <mergeCell ref="D1:E1"/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CE56-83E4-4DC5-8792-B463525337BA}">
  <dimension ref="A1:G17"/>
  <sheetViews>
    <sheetView workbookViewId="0">
      <selection activeCell="D14" sqref="D14"/>
    </sheetView>
  </sheetViews>
  <sheetFormatPr defaultRowHeight="14.45"/>
  <cols>
    <col min="4" max="4" width="14.28515625" customWidth="1"/>
    <col min="5" max="5" width="15.28515625" customWidth="1"/>
    <col min="6" max="6" width="14.28515625" customWidth="1"/>
    <col min="7" max="7" width="28" customWidth="1"/>
  </cols>
  <sheetData>
    <row r="1" spans="1:7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7">
      <c r="A2" t="s">
        <v>59</v>
      </c>
      <c r="B2" s="5">
        <v>45658</v>
      </c>
      <c r="C2" t="s">
        <v>60</v>
      </c>
      <c r="D2" t="s">
        <v>61</v>
      </c>
      <c r="E2" t="s">
        <v>61</v>
      </c>
      <c r="F2">
        <v>4204.1000000000004</v>
      </c>
      <c r="G2">
        <v>4.3280000000000003</v>
      </c>
    </row>
    <row r="3" spans="1:7">
      <c r="A3" t="s">
        <v>62</v>
      </c>
      <c r="B3" s="5">
        <v>45658</v>
      </c>
      <c r="C3" t="s">
        <v>60</v>
      </c>
      <c r="D3" t="s">
        <v>61</v>
      </c>
      <c r="E3" t="s">
        <v>61</v>
      </c>
      <c r="F3">
        <v>2227.1</v>
      </c>
      <c r="G3">
        <v>7.008</v>
      </c>
    </row>
    <row r="4" spans="1:7">
      <c r="A4" t="s">
        <v>63</v>
      </c>
      <c r="B4" s="5">
        <v>45658</v>
      </c>
      <c r="C4" t="s">
        <v>60</v>
      </c>
      <c r="D4" t="s">
        <v>61</v>
      </c>
      <c r="E4" t="s">
        <v>61</v>
      </c>
      <c r="F4">
        <v>1906.9</v>
      </c>
      <c r="G4">
        <v>6.3250000000000002</v>
      </c>
    </row>
    <row r="5" spans="1:7">
      <c r="A5" t="s">
        <v>64</v>
      </c>
      <c r="B5" s="5">
        <v>45658</v>
      </c>
      <c r="C5" t="s">
        <v>60</v>
      </c>
      <c r="D5" t="s">
        <v>61</v>
      </c>
      <c r="E5" t="s">
        <v>61</v>
      </c>
      <c r="F5">
        <v>1052</v>
      </c>
      <c r="G5">
        <v>19.8</v>
      </c>
    </row>
    <row r="6" spans="1:7">
      <c r="A6" t="s">
        <v>65</v>
      </c>
      <c r="B6" s="5">
        <v>45658</v>
      </c>
      <c r="C6" t="s">
        <v>60</v>
      </c>
      <c r="D6" t="s">
        <v>61</v>
      </c>
      <c r="E6" t="s">
        <v>61</v>
      </c>
      <c r="F6">
        <v>1243.9000000000001</v>
      </c>
      <c r="G6">
        <v>15.561999999999999</v>
      </c>
    </row>
    <row r="7" spans="1:7">
      <c r="A7" t="s">
        <v>66</v>
      </c>
      <c r="B7" s="5">
        <v>45658</v>
      </c>
      <c r="C7" t="s">
        <v>60</v>
      </c>
      <c r="D7" t="s">
        <v>61</v>
      </c>
      <c r="E7" t="s">
        <v>61</v>
      </c>
      <c r="F7">
        <v>1676.8</v>
      </c>
      <c r="G7">
        <v>13.813000000000001</v>
      </c>
    </row>
    <row r="8" spans="1:7">
      <c r="A8" t="s">
        <v>67</v>
      </c>
      <c r="B8" s="5">
        <v>45658</v>
      </c>
      <c r="C8" t="s">
        <v>60</v>
      </c>
      <c r="D8" t="s">
        <v>61</v>
      </c>
      <c r="E8" t="s">
        <v>61</v>
      </c>
      <c r="F8">
        <v>2573.8000000000002</v>
      </c>
      <c r="G8">
        <v>9.1859999999999999</v>
      </c>
    </row>
    <row r="9" spans="1:7">
      <c r="A9" t="s">
        <v>68</v>
      </c>
      <c r="B9" s="5">
        <v>45658</v>
      </c>
      <c r="C9" t="s">
        <v>60</v>
      </c>
      <c r="D9" t="s">
        <v>61</v>
      </c>
      <c r="E9" t="s">
        <v>61</v>
      </c>
      <c r="F9">
        <v>297</v>
      </c>
      <c r="G9">
        <v>12.646000000000001</v>
      </c>
    </row>
    <row r="10" spans="1:7">
      <c r="A10" t="s">
        <v>69</v>
      </c>
      <c r="B10" s="5">
        <v>45658</v>
      </c>
      <c r="C10" t="s">
        <v>60</v>
      </c>
      <c r="D10" t="s">
        <v>61</v>
      </c>
      <c r="E10" t="s">
        <v>61</v>
      </c>
      <c r="F10">
        <v>1804.3</v>
      </c>
      <c r="G10">
        <v>9.82</v>
      </c>
    </row>
    <row r="11" spans="1:7">
      <c r="A11" t="s">
        <v>70</v>
      </c>
      <c r="B11" s="5">
        <v>45658</v>
      </c>
      <c r="C11" t="s">
        <v>60</v>
      </c>
      <c r="D11" t="s">
        <v>61</v>
      </c>
      <c r="E11" t="s">
        <v>61</v>
      </c>
      <c r="F11">
        <v>3754.5</v>
      </c>
      <c r="G11">
        <v>5.9560000000000004</v>
      </c>
    </row>
    <row r="12" spans="1:7">
      <c r="A12" t="s">
        <v>71</v>
      </c>
      <c r="B12" s="5">
        <v>45658</v>
      </c>
      <c r="C12" t="s">
        <v>60</v>
      </c>
      <c r="D12" t="s">
        <v>61</v>
      </c>
      <c r="E12" t="s">
        <v>61</v>
      </c>
      <c r="F12">
        <v>2528.9</v>
      </c>
      <c r="G12">
        <v>8.9849999999999994</v>
      </c>
    </row>
    <row r="13" spans="1:7">
      <c r="A13" t="s">
        <v>72</v>
      </c>
      <c r="B13" s="5">
        <v>45658</v>
      </c>
      <c r="C13" t="s">
        <v>60</v>
      </c>
      <c r="D13" t="s">
        <v>61</v>
      </c>
      <c r="E13" t="s">
        <v>61</v>
      </c>
      <c r="F13">
        <v>7408.7</v>
      </c>
      <c r="G13">
        <v>4.91</v>
      </c>
    </row>
    <row r="14" spans="1:7">
      <c r="A14" t="s">
        <v>73</v>
      </c>
      <c r="B14" s="5">
        <v>45658</v>
      </c>
      <c r="C14" t="s">
        <v>60</v>
      </c>
      <c r="D14" t="s">
        <v>61</v>
      </c>
      <c r="E14" t="s">
        <v>61</v>
      </c>
      <c r="F14">
        <v>1245.8</v>
      </c>
      <c r="G14">
        <v>12.411</v>
      </c>
    </row>
    <row r="15" spans="1:7">
      <c r="A15" t="s">
        <v>74</v>
      </c>
      <c r="B15" s="5">
        <v>45658</v>
      </c>
      <c r="C15" t="s">
        <v>60</v>
      </c>
      <c r="D15" t="s">
        <v>61</v>
      </c>
      <c r="E15" t="s">
        <v>61</v>
      </c>
      <c r="F15">
        <v>2075.1999999999998</v>
      </c>
      <c r="G15">
        <v>16.895</v>
      </c>
    </row>
    <row r="16" spans="1:7">
      <c r="A16" t="s">
        <v>75</v>
      </c>
      <c r="B16" s="5">
        <v>45658</v>
      </c>
      <c r="C16" t="s">
        <v>60</v>
      </c>
      <c r="D16" t="s">
        <v>61</v>
      </c>
      <c r="E16" t="s">
        <v>61</v>
      </c>
      <c r="F16">
        <v>100.9</v>
      </c>
      <c r="G16">
        <v>5.9859999999999998</v>
      </c>
    </row>
    <row r="17" spans="1:7">
      <c r="A17" t="s">
        <v>76</v>
      </c>
      <c r="B17" s="5">
        <v>45658</v>
      </c>
      <c r="C17" t="s">
        <v>60</v>
      </c>
      <c r="D17" t="s">
        <v>61</v>
      </c>
      <c r="E17" t="s">
        <v>61</v>
      </c>
      <c r="F17">
        <v>120.7</v>
      </c>
      <c r="G17">
        <v>26.065000000000001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A49D-95AC-48A8-817F-57FF9DC01FF4}">
  <dimension ref="A1:C18"/>
  <sheetViews>
    <sheetView workbookViewId="0">
      <selection activeCell="C20" sqref="C20"/>
    </sheetView>
  </sheetViews>
  <sheetFormatPr defaultRowHeight="14.45"/>
  <cols>
    <col min="2" max="2" width="19.7109375" customWidth="1"/>
    <col min="3" max="3" width="22.28515625" customWidth="1"/>
  </cols>
  <sheetData>
    <row r="1" spans="1:3">
      <c r="A1" s="6" t="s">
        <v>77</v>
      </c>
      <c r="B1" s="9" t="s">
        <v>59</v>
      </c>
      <c r="C1" s="10">
        <v>170947.48800000001</v>
      </c>
    </row>
    <row r="2" spans="1:3">
      <c r="A2" s="6" t="s">
        <v>78</v>
      </c>
      <c r="B2" s="9" t="s">
        <v>62</v>
      </c>
      <c r="C2" s="10">
        <v>56303.087</v>
      </c>
    </row>
    <row r="3" spans="1:3">
      <c r="A3" s="6" t="s">
        <v>79</v>
      </c>
      <c r="B3" s="9" t="s">
        <v>63</v>
      </c>
      <c r="C3" s="10">
        <v>29775.761999999999</v>
      </c>
    </row>
    <row r="4" spans="1:3">
      <c r="A4" s="6" t="s">
        <v>80</v>
      </c>
      <c r="B4" s="9" t="s">
        <v>64</v>
      </c>
      <c r="C4" s="10">
        <v>50286.010999999999</v>
      </c>
    </row>
    <row r="5" spans="1:3">
      <c r="A5" s="6" t="s">
        <v>81</v>
      </c>
      <c r="B5" s="9" t="s">
        <v>65</v>
      </c>
      <c r="C5" s="10">
        <v>55767.290999999997</v>
      </c>
    </row>
    <row r="6" spans="1:3">
      <c r="A6" s="6" t="s">
        <v>82</v>
      </c>
      <c r="B6" s="8" t="s">
        <v>66</v>
      </c>
      <c r="C6" s="10">
        <v>70962.277000000002</v>
      </c>
    </row>
    <row r="7" spans="1:3">
      <c r="A7" s="6" t="s">
        <v>83</v>
      </c>
      <c r="B7" s="8" t="s">
        <v>69</v>
      </c>
      <c r="C7" s="10">
        <v>130283.38499999999</v>
      </c>
    </row>
    <row r="8" spans="1:3">
      <c r="A8" s="6" t="s">
        <v>84</v>
      </c>
      <c r="B8" s="8" t="s">
        <v>67</v>
      </c>
      <c r="C8" s="10">
        <v>91529.379000000001</v>
      </c>
    </row>
    <row r="9" spans="1:3">
      <c r="A9" s="6" t="s">
        <v>85</v>
      </c>
      <c r="B9" s="8" t="s">
        <v>68</v>
      </c>
      <c r="C9" s="10">
        <v>6675.5749999999998</v>
      </c>
    </row>
    <row r="10" spans="1:3">
      <c r="A10" s="6" t="s">
        <v>86</v>
      </c>
      <c r="B10" s="8" t="s">
        <v>72</v>
      </c>
      <c r="C10" s="10">
        <v>460113.64799999999</v>
      </c>
    </row>
    <row r="11" spans="1:3">
      <c r="A11" s="6" t="s">
        <v>87</v>
      </c>
      <c r="B11" s="8" t="s">
        <v>73</v>
      </c>
      <c r="C11" s="10">
        <v>40596.612999999998</v>
      </c>
    </row>
    <row r="12" spans="1:3">
      <c r="A12" s="6" t="s">
        <v>88</v>
      </c>
      <c r="B12" s="8" t="s">
        <v>70</v>
      </c>
      <c r="C12" s="10">
        <v>88773.953999999998</v>
      </c>
    </row>
    <row r="13" spans="1:3">
      <c r="A13" s="6" t="s">
        <v>89</v>
      </c>
      <c r="B13" s="8" t="s">
        <v>71</v>
      </c>
      <c r="C13" s="10">
        <v>153511.242</v>
      </c>
    </row>
    <row r="14" spans="1:3">
      <c r="A14" s="6" t="s">
        <v>90</v>
      </c>
      <c r="B14" s="8" t="s">
        <v>74</v>
      </c>
      <c r="C14" s="10">
        <v>265103.98200000002</v>
      </c>
    </row>
    <row r="15" spans="1:3">
      <c r="A15" s="6" t="s">
        <v>91</v>
      </c>
      <c r="B15" s="8" t="s">
        <v>75</v>
      </c>
      <c r="C15" s="10">
        <v>8700.2309999999998</v>
      </c>
    </row>
    <row r="16" spans="1:3">
      <c r="A16" s="6" t="s">
        <v>92</v>
      </c>
      <c r="B16" s="8" t="s">
        <v>76</v>
      </c>
      <c r="C16" s="7">
        <v>14365.914000000001</v>
      </c>
    </row>
    <row r="17" spans="1:3">
      <c r="A17" s="6" t="s">
        <v>93</v>
      </c>
      <c r="B17" s="8" t="s">
        <v>94</v>
      </c>
      <c r="C17" s="10">
        <v>43257.43</v>
      </c>
    </row>
    <row r="18" spans="1:3">
      <c r="B18" s="11"/>
      <c r="C18" s="1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9762-BF2F-4B0E-8458-63F0176A16D6}">
  <dimension ref="A1:G26"/>
  <sheetViews>
    <sheetView workbookViewId="0">
      <selection activeCell="E24" sqref="A1:G26"/>
    </sheetView>
  </sheetViews>
  <sheetFormatPr defaultRowHeight="14.45"/>
  <cols>
    <col min="1" max="1" width="14.7109375" customWidth="1"/>
    <col min="2" max="2" width="13.28515625" customWidth="1"/>
    <col min="7" max="7" width="11.7109375" customWidth="1"/>
  </cols>
  <sheetData>
    <row r="1" spans="1:7">
      <c r="A1" t="s">
        <v>52</v>
      </c>
      <c r="B1" t="s">
        <v>95</v>
      </c>
      <c r="C1" t="s">
        <v>53</v>
      </c>
      <c r="D1" t="s">
        <v>54</v>
      </c>
      <c r="E1" t="s">
        <v>55</v>
      </c>
      <c r="F1" t="s">
        <v>56</v>
      </c>
      <c r="G1" t="s">
        <v>16</v>
      </c>
    </row>
    <row r="2" spans="1:7">
      <c r="A2" t="s">
        <v>59</v>
      </c>
      <c r="B2" t="s">
        <v>96</v>
      </c>
      <c r="C2" s="5">
        <v>45658</v>
      </c>
      <c r="D2" t="s">
        <v>60</v>
      </c>
      <c r="E2" t="s">
        <v>61</v>
      </c>
      <c r="F2" t="s">
        <v>61</v>
      </c>
      <c r="G2">
        <v>511.8</v>
      </c>
    </row>
    <row r="3" spans="1:7">
      <c r="A3" t="s">
        <v>59</v>
      </c>
      <c r="B3" t="s">
        <v>97</v>
      </c>
      <c r="C3" s="5">
        <v>45658</v>
      </c>
      <c r="D3" t="s">
        <v>60</v>
      </c>
      <c r="E3" t="s">
        <v>61</v>
      </c>
      <c r="F3" t="s">
        <v>61</v>
      </c>
      <c r="G3">
        <v>1814.4</v>
      </c>
    </row>
    <row r="4" spans="1:7">
      <c r="A4" t="s">
        <v>62</v>
      </c>
      <c r="B4" t="s">
        <v>98</v>
      </c>
      <c r="C4" s="5">
        <v>45658</v>
      </c>
      <c r="D4" t="s">
        <v>60</v>
      </c>
      <c r="E4" t="s">
        <v>61</v>
      </c>
      <c r="F4" t="s">
        <v>61</v>
      </c>
      <c r="G4">
        <v>100.5</v>
      </c>
    </row>
    <row r="5" spans="1:7">
      <c r="A5" t="s">
        <v>62</v>
      </c>
      <c r="B5" t="s">
        <v>99</v>
      </c>
      <c r="C5" s="5">
        <v>45658</v>
      </c>
      <c r="D5" t="s">
        <v>60</v>
      </c>
      <c r="E5" t="s">
        <v>61</v>
      </c>
      <c r="F5" t="s">
        <v>61</v>
      </c>
      <c r="G5">
        <v>574.70000000000005</v>
      </c>
    </row>
    <row r="6" spans="1:7">
      <c r="A6" t="s">
        <v>63</v>
      </c>
      <c r="B6" t="s">
        <v>100</v>
      </c>
      <c r="C6" s="5">
        <v>45658</v>
      </c>
      <c r="D6" t="s">
        <v>60</v>
      </c>
      <c r="E6" t="s">
        <v>61</v>
      </c>
      <c r="F6" t="s">
        <v>61</v>
      </c>
      <c r="G6">
        <v>167.6</v>
      </c>
    </row>
    <row r="7" spans="1:7">
      <c r="A7" t="s">
        <v>63</v>
      </c>
      <c r="B7" t="s">
        <v>101</v>
      </c>
      <c r="C7" s="5">
        <v>45658</v>
      </c>
      <c r="D7" t="s">
        <v>60</v>
      </c>
      <c r="E7" t="s">
        <v>61</v>
      </c>
      <c r="F7" t="s">
        <v>61</v>
      </c>
      <c r="G7">
        <v>590.1</v>
      </c>
    </row>
    <row r="8" spans="1:7">
      <c r="A8" t="s">
        <v>64</v>
      </c>
      <c r="B8" t="s">
        <v>102</v>
      </c>
      <c r="C8" s="5">
        <v>45658</v>
      </c>
      <c r="D8" t="s">
        <v>60</v>
      </c>
      <c r="E8" t="s">
        <v>61</v>
      </c>
      <c r="F8" t="s">
        <v>61</v>
      </c>
      <c r="G8">
        <v>633.29999999999995</v>
      </c>
    </row>
    <row r="9" spans="1:7">
      <c r="A9" t="s">
        <v>64</v>
      </c>
      <c r="B9" t="s">
        <v>103</v>
      </c>
      <c r="C9" s="5">
        <v>45658</v>
      </c>
      <c r="D9" t="s">
        <v>60</v>
      </c>
      <c r="E9" t="s">
        <v>61</v>
      </c>
      <c r="F9" t="s">
        <v>61</v>
      </c>
      <c r="G9">
        <v>261.8</v>
      </c>
    </row>
    <row r="10" spans="1:7">
      <c r="A10" t="s">
        <v>65</v>
      </c>
      <c r="B10" t="s">
        <v>104</v>
      </c>
      <c r="C10" s="5">
        <v>45658</v>
      </c>
      <c r="D10" t="s">
        <v>60</v>
      </c>
      <c r="E10" t="s">
        <v>61</v>
      </c>
      <c r="F10" t="s">
        <v>61</v>
      </c>
      <c r="G10">
        <v>135.6</v>
      </c>
    </row>
    <row r="11" spans="1:7">
      <c r="A11" t="s">
        <v>65</v>
      </c>
      <c r="B11" t="s">
        <v>105</v>
      </c>
      <c r="C11" s="5">
        <v>45658</v>
      </c>
      <c r="D11" t="s">
        <v>60</v>
      </c>
      <c r="E11" t="s">
        <v>61</v>
      </c>
      <c r="F11" t="s">
        <v>61</v>
      </c>
      <c r="G11">
        <v>716.8</v>
      </c>
    </row>
    <row r="12" spans="1:7">
      <c r="A12" t="s">
        <v>66</v>
      </c>
      <c r="B12" t="s">
        <v>106</v>
      </c>
      <c r="C12" s="5">
        <v>45658</v>
      </c>
      <c r="D12" t="s">
        <v>60</v>
      </c>
      <c r="E12" t="s">
        <v>61</v>
      </c>
      <c r="F12" t="s">
        <v>61</v>
      </c>
      <c r="G12">
        <v>576.70000000000005</v>
      </c>
    </row>
    <row r="13" spans="1:7">
      <c r="A13" t="s">
        <v>66</v>
      </c>
      <c r="B13" t="s">
        <v>107</v>
      </c>
      <c r="C13" s="5">
        <v>45658</v>
      </c>
      <c r="D13" t="s">
        <v>60</v>
      </c>
      <c r="E13" t="s">
        <v>61</v>
      </c>
      <c r="F13" t="s">
        <v>61</v>
      </c>
      <c r="G13">
        <v>44.8</v>
      </c>
    </row>
    <row r="14" spans="1:7">
      <c r="A14" t="s">
        <v>67</v>
      </c>
      <c r="B14" t="s">
        <v>108</v>
      </c>
      <c r="C14" s="5">
        <v>45658</v>
      </c>
      <c r="D14" t="s">
        <v>60</v>
      </c>
      <c r="E14" t="s">
        <v>61</v>
      </c>
      <c r="F14" t="s">
        <v>61</v>
      </c>
      <c r="G14">
        <v>927.4</v>
      </c>
    </row>
    <row r="15" spans="1:7">
      <c r="A15" t="s">
        <v>67</v>
      </c>
      <c r="B15" t="s">
        <v>109</v>
      </c>
      <c r="C15" s="5">
        <v>45658</v>
      </c>
      <c r="D15" t="s">
        <v>60</v>
      </c>
      <c r="E15" t="s">
        <v>61</v>
      </c>
      <c r="F15" t="s">
        <v>61</v>
      </c>
      <c r="G15">
        <v>278.3</v>
      </c>
    </row>
    <row r="16" spans="1:7">
      <c r="A16" t="s">
        <v>68</v>
      </c>
      <c r="B16" t="s">
        <v>68</v>
      </c>
      <c r="C16" s="5">
        <v>45658</v>
      </c>
      <c r="D16" t="s">
        <v>60</v>
      </c>
      <c r="E16" t="s">
        <v>61</v>
      </c>
      <c r="F16" t="s">
        <v>61</v>
      </c>
      <c r="G16">
        <v>297.8</v>
      </c>
    </row>
    <row r="17" spans="1:7">
      <c r="A17" t="s">
        <v>69</v>
      </c>
      <c r="B17" t="s">
        <v>110</v>
      </c>
      <c r="C17" s="5">
        <v>45658</v>
      </c>
      <c r="D17" t="s">
        <v>60</v>
      </c>
      <c r="E17" t="s">
        <v>61</v>
      </c>
      <c r="F17" t="s">
        <v>61</v>
      </c>
      <c r="G17">
        <v>565.9</v>
      </c>
    </row>
    <row r="18" spans="1:7">
      <c r="A18" t="s">
        <v>69</v>
      </c>
      <c r="B18" t="s">
        <v>111</v>
      </c>
      <c r="C18" s="5">
        <v>45658</v>
      </c>
      <c r="D18" t="s">
        <v>60</v>
      </c>
      <c r="E18" t="s">
        <v>61</v>
      </c>
      <c r="F18" t="s">
        <v>61</v>
      </c>
      <c r="G18">
        <v>249.7</v>
      </c>
    </row>
    <row r="19" spans="1:7">
      <c r="A19" t="s">
        <v>70</v>
      </c>
      <c r="B19" t="s">
        <v>112</v>
      </c>
      <c r="C19" s="5">
        <v>45658</v>
      </c>
      <c r="D19" t="s">
        <v>60</v>
      </c>
      <c r="E19" t="s">
        <v>61</v>
      </c>
      <c r="F19" t="s">
        <v>61</v>
      </c>
      <c r="G19">
        <v>552.4</v>
      </c>
    </row>
    <row r="20" spans="1:7">
      <c r="A20" t="s">
        <v>70</v>
      </c>
      <c r="B20" t="s">
        <v>113</v>
      </c>
      <c r="C20" s="5">
        <v>45658</v>
      </c>
      <c r="D20" t="s">
        <v>60</v>
      </c>
      <c r="E20" t="s">
        <v>61</v>
      </c>
      <c r="F20" t="s">
        <v>61</v>
      </c>
      <c r="G20">
        <v>201.4</v>
      </c>
    </row>
    <row r="21" spans="1:7">
      <c r="A21" t="s">
        <v>71</v>
      </c>
      <c r="B21" t="s">
        <v>114</v>
      </c>
      <c r="C21" s="5">
        <v>45658</v>
      </c>
      <c r="D21" t="s">
        <v>60</v>
      </c>
      <c r="E21" t="s">
        <v>61</v>
      </c>
      <c r="F21" t="s">
        <v>61</v>
      </c>
      <c r="G21">
        <v>627.20000000000005</v>
      </c>
    </row>
    <row r="22" spans="1:7">
      <c r="A22" t="s">
        <v>71</v>
      </c>
      <c r="B22" t="s">
        <v>115</v>
      </c>
      <c r="C22" s="5">
        <v>45658</v>
      </c>
      <c r="D22" t="s">
        <v>60</v>
      </c>
      <c r="E22" t="s">
        <v>61</v>
      </c>
      <c r="F22" t="s">
        <v>61</v>
      </c>
      <c r="G22">
        <v>256.39999999999998</v>
      </c>
    </row>
    <row r="23" spans="1:7">
      <c r="A23" t="s">
        <v>72</v>
      </c>
      <c r="B23" t="s">
        <v>116</v>
      </c>
      <c r="C23" s="5">
        <v>45658</v>
      </c>
      <c r="D23" t="s">
        <v>60</v>
      </c>
      <c r="E23" t="s">
        <v>61</v>
      </c>
      <c r="F23" t="s">
        <v>61</v>
      </c>
      <c r="G23">
        <v>2370.6</v>
      </c>
    </row>
    <row r="24" spans="1:7">
      <c r="A24" t="s">
        <v>72</v>
      </c>
      <c r="B24" t="s">
        <v>117</v>
      </c>
      <c r="C24" s="5">
        <v>45658</v>
      </c>
      <c r="D24" t="s">
        <v>60</v>
      </c>
      <c r="E24" t="s">
        <v>61</v>
      </c>
      <c r="F24" t="s">
        <v>61</v>
      </c>
      <c r="G24">
        <v>1516.6</v>
      </c>
    </row>
    <row r="25" spans="1:7">
      <c r="A25" t="s">
        <v>73</v>
      </c>
      <c r="B25" t="s">
        <v>118</v>
      </c>
      <c r="C25" s="5">
        <v>45658</v>
      </c>
      <c r="D25" t="s">
        <v>60</v>
      </c>
      <c r="E25" t="s">
        <v>61</v>
      </c>
      <c r="F25" t="s">
        <v>61</v>
      </c>
      <c r="G25">
        <v>248.4</v>
      </c>
    </row>
    <row r="26" spans="1:7" ht="13.9" customHeight="1">
      <c r="A26" t="s">
        <v>74</v>
      </c>
      <c r="B26" t="s">
        <v>74</v>
      </c>
      <c r="C26" s="5">
        <v>45658</v>
      </c>
      <c r="D26" t="s">
        <v>60</v>
      </c>
      <c r="E26" t="s">
        <v>61</v>
      </c>
      <c r="F26" t="s">
        <v>61</v>
      </c>
      <c r="G26">
        <v>2074.1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lining lim</dc:creator>
  <cp:keywords/>
  <dc:description/>
  <cp:lastModifiedBy>Guest User</cp:lastModifiedBy>
  <cp:revision/>
  <dcterms:created xsi:type="dcterms:W3CDTF">2026-09-16T01:53:36Z</dcterms:created>
  <dcterms:modified xsi:type="dcterms:W3CDTF">2026-09-18T13:51:38Z</dcterms:modified>
  <cp:category/>
  <cp:contentStatus/>
</cp:coreProperties>
</file>